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2.xml" ContentType="application/vnd.ms-excel.controlproperties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trlProps/ctrlProp3.xml" ContentType="application/vnd.ms-excel.controlpropertie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trlProps/ctrlProp4.xml" ContentType="application/vnd.ms-excel.controlpropertie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meredith\Documents\"/>
    </mc:Choice>
  </mc:AlternateContent>
  <xr:revisionPtr revIDLastSave="0" documentId="13_ncr:1_{250079E4-61BC-4A00-9D12-095FBC90EAC0}" xr6:coauthVersionLast="47" xr6:coauthVersionMax="47" xr10:uidLastSave="{00000000-0000-0000-0000-000000000000}"/>
  <bookViews>
    <workbookView xWindow="-110" yWindow="30" windowWidth="19420" windowHeight="11360" xr2:uid="{FEDE7637-D95B-4163-84EA-F652E9192A04}"/>
  </bookViews>
  <sheets>
    <sheet name="Weekly" sheetId="1" r:id="rId1"/>
    <sheet name="60" sheetId="6" r:id="rId2"/>
    <sheet name="30" sheetId="7" r:id="rId3"/>
    <sheet name="Mini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4" i="1" l="1"/>
  <c r="E201" i="7" l="1"/>
  <c r="E71" i="7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334" i="1" l="1"/>
  <c r="E147" i="1"/>
  <c r="E166" i="1"/>
  <c r="E696" i="1"/>
  <c r="E438" i="1"/>
  <c r="E927" i="1"/>
  <c r="E227" i="1"/>
  <c r="E613" i="1"/>
  <c r="E193" i="1"/>
  <c r="E472" i="1"/>
  <c r="E944" i="1"/>
  <c r="E527" i="1"/>
  <c r="E236" i="1"/>
  <c r="E608" i="1"/>
  <c r="E711" i="1"/>
  <c r="E263" i="8" l="1"/>
  <c r="E811" i="1"/>
  <c r="E677" i="1"/>
  <c r="E816" i="1"/>
  <c r="E713" i="1"/>
  <c r="E503" i="1"/>
  <c r="E351" i="1"/>
  <c r="E195" i="1"/>
  <c r="E307" i="1"/>
  <c r="E372" i="1"/>
  <c r="E103" i="1"/>
  <c r="E126" i="1"/>
  <c r="E218" i="1"/>
  <c r="E498" i="1"/>
  <c r="E722" i="1"/>
  <c r="E146" i="1"/>
  <c r="E15" i="6"/>
  <c r="E16" i="6"/>
  <c r="E17" i="6"/>
  <c r="E18" i="6"/>
  <c r="E19" i="6"/>
  <c r="E20" i="6"/>
  <c r="E21" i="6"/>
  <c r="E22" i="6"/>
  <c r="E23" i="6"/>
  <c r="E27" i="6"/>
  <c r="E29" i="6"/>
  <c r="E30" i="6"/>
  <c r="E31" i="6"/>
  <c r="E32" i="6"/>
  <c r="E33" i="6"/>
  <c r="E34" i="6"/>
  <c r="E37" i="6"/>
  <c r="E38" i="6"/>
  <c r="E39" i="6"/>
  <c r="E40" i="6"/>
  <c r="E42" i="6"/>
  <c r="E43" i="6"/>
  <c r="E44" i="6"/>
  <c r="E45" i="6"/>
  <c r="E46" i="6"/>
  <c r="E47" i="6"/>
  <c r="E48" i="6"/>
  <c r="E49" i="6"/>
  <c r="E50" i="6"/>
  <c r="E51" i="6"/>
  <c r="E53" i="6"/>
  <c r="E54" i="6"/>
  <c r="E55" i="6"/>
  <c r="E56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3" i="6"/>
  <c r="E74" i="6"/>
  <c r="E75" i="6"/>
  <c r="E76" i="6"/>
  <c r="E77" i="6"/>
  <c r="E78" i="6"/>
  <c r="E79" i="6"/>
  <c r="E80" i="6"/>
  <c r="E81" i="6"/>
  <c r="E82" i="6"/>
  <c r="E83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8" i="6"/>
  <c r="E139" i="6"/>
  <c r="E140" i="6"/>
  <c r="E141" i="6"/>
  <c r="E142" i="6"/>
  <c r="E144" i="6"/>
  <c r="E145" i="6"/>
  <c r="E146" i="6"/>
  <c r="E147" i="6"/>
  <c r="E148" i="6"/>
  <c r="E150" i="6"/>
  <c r="E151" i="6"/>
  <c r="E153" i="6"/>
  <c r="E154" i="6"/>
  <c r="E155" i="6"/>
  <c r="E156" i="6"/>
  <c r="E158" i="6"/>
  <c r="E159" i="6"/>
  <c r="E160" i="6"/>
  <c r="E161" i="6"/>
  <c r="E162" i="6"/>
  <c r="E163" i="6"/>
  <c r="E164" i="6"/>
  <c r="E165" i="6"/>
  <c r="E166" i="6"/>
  <c r="E167" i="6"/>
  <c r="E168" i="6"/>
  <c r="E170" i="6"/>
  <c r="E171" i="6"/>
  <c r="E172" i="6"/>
  <c r="E173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3" i="6"/>
  <c r="E284" i="6"/>
  <c r="E285" i="6"/>
  <c r="E287" i="6"/>
  <c r="E288" i="6"/>
  <c r="E289" i="6"/>
  <c r="E290" i="6"/>
  <c r="E291" i="6"/>
  <c r="E292" i="6"/>
  <c r="E293" i="6"/>
  <c r="E294" i="6"/>
  <c r="E295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7" i="6"/>
  <c r="E368" i="6"/>
  <c r="E369" i="6"/>
  <c r="E370" i="6"/>
  <c r="E372" i="6"/>
  <c r="E373" i="6"/>
  <c r="E374" i="6"/>
  <c r="E375" i="6"/>
  <c r="E376" i="6"/>
  <c r="E377" i="6"/>
  <c r="E378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1" i="6"/>
  <c r="E442" i="6"/>
  <c r="E443" i="6"/>
  <c r="E444" i="6"/>
  <c r="E445" i="6"/>
  <c r="E446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20" i="6"/>
  <c r="E521" i="6"/>
  <c r="E522" i="6"/>
  <c r="E523" i="6"/>
  <c r="E524" i="6"/>
  <c r="E24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1" i="6"/>
  <c r="E682" i="6"/>
  <c r="E683" i="6"/>
  <c r="E684" i="6"/>
  <c r="E685" i="6"/>
  <c r="E686" i="6"/>
  <c r="E687" i="6"/>
  <c r="E688" i="6"/>
  <c r="E689" i="6"/>
  <c r="E121" i="6"/>
  <c r="E680" i="6"/>
  <c r="E379" i="6"/>
  <c r="E137" i="6"/>
  <c r="E28" i="6"/>
  <c r="E35" i="6"/>
  <c r="E596" i="6"/>
  <c r="E519" i="6"/>
  <c r="E371" i="6"/>
  <c r="E266" i="6"/>
  <c r="E149" i="6"/>
  <c r="E234" i="6"/>
  <c r="E282" i="6"/>
  <c r="E84" i="6"/>
  <c r="E100" i="6"/>
  <c r="E169" i="6"/>
  <c r="E366" i="6"/>
  <c r="E525" i="6"/>
  <c r="E495" i="6"/>
  <c r="E296" i="6"/>
  <c r="E72" i="6"/>
  <c r="E52" i="6"/>
  <c r="E36" i="6"/>
  <c r="E57" i="6"/>
  <c r="E207" i="6"/>
  <c r="E251" i="6"/>
  <c r="E286" i="6"/>
  <c r="E440" i="6"/>
  <c r="E447" i="6"/>
  <c r="E152" i="6"/>
  <c r="E41" i="6"/>
  <c r="E297" i="6"/>
  <c r="E174" i="6"/>
  <c r="E542" i="6"/>
  <c r="E143" i="6"/>
  <c r="E157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10" i="6" l="1"/>
  <c r="E26" i="6"/>
  <c r="E11" i="6"/>
  <c r="E12" i="6"/>
  <c r="E13" i="6"/>
  <c r="E25" i="6"/>
  <c r="E14" i="6"/>
  <c r="E919" i="8"/>
  <c r="E918" i="8"/>
  <c r="E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224" i="8"/>
  <c r="E101" i="8"/>
  <c r="E41" i="8"/>
  <c r="E230" i="8"/>
  <c r="E115" i="8"/>
  <c r="E141" i="8"/>
  <c r="E257" i="8"/>
  <c r="E201" i="8"/>
  <c r="E216" i="8"/>
  <c r="E287" i="8"/>
  <c r="E91" i="8"/>
  <c r="E110" i="8"/>
  <c r="E166" i="8"/>
  <c r="E34" i="8"/>
  <c r="E97" i="8"/>
  <c r="E248" i="8"/>
  <c r="E245" i="8"/>
  <c r="E161" i="8"/>
  <c r="E143" i="8"/>
  <c r="E46" i="8"/>
  <c r="E32" i="8"/>
  <c r="E40" i="8"/>
  <c r="E55" i="8"/>
  <c r="E61" i="8"/>
  <c r="E157" i="8"/>
  <c r="E95" i="8"/>
  <c r="E30" i="8"/>
  <c r="E349" i="8"/>
  <c r="E353" i="8"/>
  <c r="E352" i="8"/>
  <c r="E351" i="8"/>
  <c r="E350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6" i="8"/>
  <c r="E285" i="8"/>
  <c r="E284" i="8"/>
  <c r="E283" i="8"/>
  <c r="E282" i="8"/>
  <c r="E281" i="8"/>
  <c r="E280" i="8"/>
  <c r="E2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2" i="8"/>
  <c r="E261" i="8"/>
  <c r="E260" i="8"/>
  <c r="E259" i="8"/>
  <c r="E258" i="8"/>
  <c r="E256" i="8"/>
  <c r="E255" i="8"/>
  <c r="E254" i="8"/>
  <c r="E253" i="8"/>
  <c r="E252" i="8"/>
  <c r="E251" i="8"/>
  <c r="E250" i="8"/>
  <c r="E249" i="8"/>
  <c r="E247" i="8"/>
  <c r="E246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29" i="8"/>
  <c r="E228" i="8"/>
  <c r="E227" i="8"/>
  <c r="E226" i="8"/>
  <c r="E225" i="8"/>
  <c r="E223" i="8"/>
  <c r="E222" i="8"/>
  <c r="E221" i="8"/>
  <c r="E220" i="8"/>
  <c r="E219" i="8"/>
  <c r="E218" i="8"/>
  <c r="E217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5" i="8"/>
  <c r="E164" i="8"/>
  <c r="E163" i="8"/>
  <c r="E162" i="8"/>
  <c r="E160" i="8"/>
  <c r="E159" i="8"/>
  <c r="E158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2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4" i="8"/>
  <c r="E113" i="8"/>
  <c r="E112" i="8"/>
  <c r="E111" i="8"/>
  <c r="E109" i="8"/>
  <c r="E108" i="8"/>
  <c r="E107" i="8"/>
  <c r="E106" i="8"/>
  <c r="E105" i="8"/>
  <c r="E104" i="8"/>
  <c r="E103" i="8"/>
  <c r="E102" i="8"/>
  <c r="E100" i="8"/>
  <c r="E99" i="8"/>
  <c r="E98" i="8"/>
  <c r="E96" i="8"/>
  <c r="E94" i="8"/>
  <c r="E93" i="8"/>
  <c r="E92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0" i="8"/>
  <c r="E59" i="8"/>
  <c r="E58" i="8"/>
  <c r="E57" i="8"/>
  <c r="E56" i="8"/>
  <c r="E54" i="8"/>
  <c r="E53" i="8"/>
  <c r="E52" i="8"/>
  <c r="E51" i="8"/>
  <c r="E50" i="8"/>
  <c r="E49" i="8"/>
  <c r="E48" i="8"/>
  <c r="E47" i="8"/>
  <c r="E45" i="8"/>
  <c r="E44" i="8"/>
  <c r="E43" i="8"/>
  <c r="E42" i="8"/>
  <c r="E39" i="8"/>
  <c r="E38" i="8"/>
  <c r="E37" i="8"/>
  <c r="E36" i="8"/>
  <c r="E35" i="8"/>
  <c r="E33" i="8"/>
  <c r="E31" i="8"/>
  <c r="E29" i="8"/>
  <c r="E28" i="8"/>
  <c r="E27" i="8"/>
  <c r="E26" i="8"/>
  <c r="E25" i="8"/>
  <c r="E24" i="8"/>
  <c r="E23" i="8"/>
  <c r="E22" i="8"/>
  <c r="E19" i="8"/>
  <c r="E18" i="8"/>
  <c r="E17" i="8"/>
  <c r="E16" i="8"/>
  <c r="E15" i="8"/>
  <c r="E14" i="8"/>
  <c r="E13" i="8"/>
  <c r="E12" i="8"/>
  <c r="E11" i="8"/>
  <c r="E10" i="8"/>
  <c r="E21" i="8"/>
  <c r="G8" i="8"/>
  <c r="F8" i="8"/>
  <c r="B1" i="8"/>
  <c r="B2" i="8" s="1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145" i="7"/>
  <c r="E75" i="7"/>
  <c r="E295" i="7"/>
  <c r="E286" i="7"/>
  <c r="E24" i="7"/>
  <c r="E136" i="7"/>
  <c r="E91" i="7"/>
  <c r="E226" i="7"/>
  <c r="E172" i="7"/>
  <c r="E217" i="7"/>
  <c r="E30" i="7"/>
  <c r="E167" i="7"/>
  <c r="E40" i="7"/>
  <c r="E229" i="7"/>
  <c r="E207" i="7"/>
  <c r="E191" i="7"/>
  <c r="E68" i="7"/>
  <c r="E10" i="7"/>
  <c r="E156" i="7"/>
  <c r="E38" i="7"/>
  <c r="E108" i="7"/>
  <c r="E54" i="7"/>
  <c r="E255" i="7"/>
  <c r="E53" i="7"/>
  <c r="E278" i="7"/>
  <c r="E296" i="7"/>
  <c r="E294" i="7"/>
  <c r="E293" i="7"/>
  <c r="E292" i="7"/>
  <c r="E291" i="7"/>
  <c r="E290" i="7"/>
  <c r="E289" i="7"/>
  <c r="E288" i="7"/>
  <c r="E287" i="7"/>
  <c r="E285" i="7"/>
  <c r="E284" i="7"/>
  <c r="E283" i="7"/>
  <c r="E282" i="7"/>
  <c r="E281" i="7"/>
  <c r="E280" i="7"/>
  <c r="E279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8" i="7"/>
  <c r="E227" i="7"/>
  <c r="E225" i="7"/>
  <c r="E224" i="7"/>
  <c r="E223" i="7"/>
  <c r="E222" i="7"/>
  <c r="E221" i="7"/>
  <c r="E220" i="7"/>
  <c r="E219" i="7"/>
  <c r="E218" i="7"/>
  <c r="E216" i="7"/>
  <c r="E215" i="7"/>
  <c r="E214" i="7"/>
  <c r="E213" i="7"/>
  <c r="E212" i="7"/>
  <c r="E211" i="7"/>
  <c r="E210" i="7"/>
  <c r="E209" i="7"/>
  <c r="E208" i="7"/>
  <c r="E206" i="7"/>
  <c r="E205" i="7"/>
  <c r="E204" i="7"/>
  <c r="E203" i="7"/>
  <c r="E202" i="7"/>
  <c r="E200" i="7"/>
  <c r="E199" i="7"/>
  <c r="E198" i="7"/>
  <c r="E197" i="7"/>
  <c r="E196" i="7"/>
  <c r="E195" i="7"/>
  <c r="E194" i="7"/>
  <c r="E193" i="7"/>
  <c r="E192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1" i="7"/>
  <c r="E170" i="7"/>
  <c r="E169" i="7"/>
  <c r="E168" i="7"/>
  <c r="E166" i="7"/>
  <c r="E165" i="7"/>
  <c r="E164" i="7"/>
  <c r="E163" i="7"/>
  <c r="E162" i="7"/>
  <c r="E161" i="7"/>
  <c r="E160" i="7"/>
  <c r="E159" i="7"/>
  <c r="E158" i="7"/>
  <c r="E157" i="7"/>
  <c r="E155" i="7"/>
  <c r="E154" i="7"/>
  <c r="E153" i="7"/>
  <c r="E152" i="7"/>
  <c r="E151" i="7"/>
  <c r="E150" i="7"/>
  <c r="E149" i="7"/>
  <c r="E148" i="7"/>
  <c r="E147" i="7"/>
  <c r="E146" i="7"/>
  <c r="E144" i="7"/>
  <c r="E143" i="7"/>
  <c r="E142" i="7"/>
  <c r="E141" i="7"/>
  <c r="E140" i="7"/>
  <c r="E139" i="7"/>
  <c r="E138" i="7"/>
  <c r="E137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4" i="7"/>
  <c r="E73" i="7"/>
  <c r="E72" i="7"/>
  <c r="E70" i="7"/>
  <c r="E69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2" i="7"/>
  <c r="E51" i="7"/>
  <c r="E50" i="7"/>
  <c r="E49" i="7"/>
  <c r="E48" i="7"/>
  <c r="E47" i="7"/>
  <c r="E46" i="7"/>
  <c r="E45" i="7"/>
  <c r="E44" i="7"/>
  <c r="E43" i="7"/>
  <c r="E42" i="7"/>
  <c r="E41" i="7"/>
  <c r="E39" i="7"/>
  <c r="E37" i="7"/>
  <c r="E36" i="7"/>
  <c r="E35" i="7"/>
  <c r="E34" i="7"/>
  <c r="E33" i="7"/>
  <c r="E32" i="7"/>
  <c r="E31" i="7"/>
  <c r="E29" i="7"/>
  <c r="E28" i="7"/>
  <c r="E27" i="7"/>
  <c r="E26" i="7"/>
  <c r="E25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G8" i="7"/>
  <c r="F8" i="7"/>
  <c r="B1" i="7"/>
  <c r="B2" i="7" s="1"/>
  <c r="G8" i="6"/>
  <c r="F8" i="6"/>
  <c r="B1" i="6"/>
  <c r="B2" i="6" s="1"/>
  <c r="E10" i="1"/>
  <c r="E28" i="1"/>
  <c r="E11" i="1"/>
  <c r="E12" i="1"/>
  <c r="E13" i="1"/>
  <c r="E27" i="1"/>
  <c r="E14" i="1"/>
  <c r="E15" i="1"/>
  <c r="E16" i="1"/>
  <c r="E17" i="1"/>
  <c r="E18" i="1"/>
  <c r="E19" i="1"/>
  <c r="E20" i="1"/>
  <c r="E21" i="1"/>
  <c r="E22" i="1"/>
  <c r="E23" i="1"/>
  <c r="E24" i="1"/>
  <c r="E25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4" i="1"/>
  <c r="E155" i="1"/>
  <c r="E156" i="1"/>
  <c r="E158" i="1"/>
  <c r="E159" i="1"/>
  <c r="E160" i="1"/>
  <c r="E161" i="1"/>
  <c r="E162" i="1"/>
  <c r="E163" i="1"/>
  <c r="E164" i="1"/>
  <c r="E165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3" i="1"/>
  <c r="E184" i="1"/>
  <c r="E185" i="1"/>
  <c r="E186" i="1"/>
  <c r="E187" i="1"/>
  <c r="E188" i="1"/>
  <c r="E189" i="1"/>
  <c r="E190" i="1"/>
  <c r="E191" i="1"/>
  <c r="E192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9" i="1"/>
  <c r="E220" i="1"/>
  <c r="E221" i="1"/>
  <c r="E222" i="1"/>
  <c r="E223" i="1"/>
  <c r="E224" i="1"/>
  <c r="E225" i="1"/>
  <c r="E226" i="1"/>
  <c r="E228" i="1"/>
  <c r="E229" i="1"/>
  <c r="E230" i="1"/>
  <c r="E231" i="1"/>
  <c r="E232" i="1"/>
  <c r="E233" i="1"/>
  <c r="E234" i="1"/>
  <c r="E235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9" i="1"/>
  <c r="E500" i="1"/>
  <c r="E501" i="1"/>
  <c r="E502" i="1"/>
  <c r="E504" i="1"/>
  <c r="E505" i="1"/>
  <c r="E506" i="1"/>
  <c r="E507" i="1"/>
  <c r="E508" i="1"/>
  <c r="E509" i="1"/>
  <c r="E510" i="1"/>
  <c r="E511" i="1"/>
  <c r="E512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9" i="1"/>
  <c r="E610" i="1"/>
  <c r="E611" i="1"/>
  <c r="E612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2" i="1"/>
  <c r="E714" i="1"/>
  <c r="E715" i="1"/>
  <c r="E716" i="1"/>
  <c r="E717" i="1"/>
  <c r="E718" i="1"/>
  <c r="E719" i="1"/>
  <c r="E720" i="1"/>
  <c r="E721" i="1"/>
  <c r="E26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2" i="1"/>
  <c r="E813" i="1"/>
  <c r="E814" i="1"/>
  <c r="E815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8" i="1"/>
  <c r="E929" i="1"/>
  <c r="E930" i="1"/>
  <c r="E931" i="1"/>
  <c r="E932" i="1"/>
  <c r="E933" i="1"/>
  <c r="E934" i="1"/>
  <c r="E935" i="1"/>
  <c r="E937" i="1"/>
  <c r="E938" i="1"/>
  <c r="E939" i="1"/>
  <c r="E940" i="1"/>
  <c r="E941" i="1"/>
  <c r="E942" i="1"/>
  <c r="E943" i="1"/>
  <c r="E945" i="1"/>
  <c r="E946" i="1"/>
  <c r="E947" i="1"/>
  <c r="E948" i="1"/>
  <c r="E949" i="1"/>
  <c r="E895" i="1"/>
  <c r="E157" i="1"/>
  <c r="E936" i="1"/>
  <c r="E513" i="1"/>
  <c r="E182" i="1"/>
  <c r="B1" i="1"/>
  <c r="B2" i="1" s="1"/>
  <c r="G8" i="1"/>
  <c r="F8" i="1"/>
  <c r="B3" i="8" l="1"/>
  <c r="B6" i="8" s="1"/>
  <c r="B3" i="7"/>
  <c r="B6" i="7" s="1"/>
  <c r="B3" i="6"/>
  <c r="B6" i="6" s="1"/>
  <c r="B3" i="1"/>
  <c r="B6" i="1" s="1"/>
</calcChain>
</file>

<file path=xl/sharedStrings.xml><?xml version="1.0" encoding="utf-8"?>
<sst xmlns="http://schemas.openxmlformats.org/spreadsheetml/2006/main" count="4188" uniqueCount="1943">
  <si>
    <t>30 for 30</t>
  </si>
  <si>
    <t>30 Rock</t>
  </si>
  <si>
    <t>Alienist, The</t>
  </si>
  <si>
    <t>Ally McBeal</t>
  </si>
  <si>
    <t>American Crime Story</t>
  </si>
  <si>
    <t>American Gods</t>
  </si>
  <si>
    <t>American Horror Story</t>
  </si>
  <si>
    <t>Americans, The</t>
  </si>
  <si>
    <t>Ancient Aliens</t>
  </si>
  <si>
    <t>Animaniacs</t>
  </si>
  <si>
    <t>Archer</t>
  </si>
  <si>
    <t>Arrow</t>
  </si>
  <si>
    <t>Ash vs. Evil Dead</t>
  </si>
  <si>
    <t>Band of Brothers</t>
  </si>
  <si>
    <t>Bates Motel</t>
  </si>
  <si>
    <t>Batwoman</t>
  </si>
  <si>
    <t>Beatles, The: Get Back</t>
  </si>
  <si>
    <t>Better Call Saul</t>
  </si>
  <si>
    <t>Big Bang Theory, The</t>
  </si>
  <si>
    <t>Black Lightning</t>
  </si>
  <si>
    <t>Black Sails</t>
  </si>
  <si>
    <t>Blacklist, The</t>
  </si>
  <si>
    <t>Boardwalk Empire</t>
  </si>
  <si>
    <t>Bob's Burgers</t>
  </si>
  <si>
    <t>Bones</t>
  </si>
  <si>
    <t>Boy Meets World</t>
  </si>
  <si>
    <t>Boys, The</t>
  </si>
  <si>
    <t>Breaking Bad</t>
  </si>
  <si>
    <t>Brooklyn Nine-Nine</t>
  </si>
  <si>
    <t>Burn Notice</t>
  </si>
  <si>
    <t>Castle Rock</t>
  </si>
  <si>
    <t>Catch-22</t>
  </si>
  <si>
    <t>Chappelle's Show</t>
  </si>
  <si>
    <t>Charmed</t>
  </si>
  <si>
    <t>Constantine</t>
  </si>
  <si>
    <t>CSI: Crime Scene Investigation</t>
  </si>
  <si>
    <t>DC's Legends of Tomorrow</t>
  </si>
  <si>
    <t>Deadwood</t>
  </si>
  <si>
    <t>Dexter</t>
  </si>
  <si>
    <t>Documentary Now!</t>
  </si>
  <si>
    <t>Doom Patrol</t>
  </si>
  <si>
    <t>Downton Abbey</t>
  </si>
  <si>
    <t>Drunk History</t>
  </si>
  <si>
    <t>ER</t>
  </si>
  <si>
    <t>Escape at Dannemora</t>
  </si>
  <si>
    <t>ESPN Films Presents</t>
  </si>
  <si>
    <t>Expanse, The</t>
  </si>
  <si>
    <t>Flash, The</t>
  </si>
  <si>
    <t>Flight Attendant, The</t>
  </si>
  <si>
    <t>Arrowverse</t>
  </si>
  <si>
    <t>MCU</t>
  </si>
  <si>
    <t>Flintstones, The</t>
  </si>
  <si>
    <t>Frasier</t>
  </si>
  <si>
    <t>Fresh Prince of Bel-Air, The</t>
  </si>
  <si>
    <t>Friday Night Lights</t>
  </si>
  <si>
    <t>Friends</t>
  </si>
  <si>
    <t>Genius</t>
  </si>
  <si>
    <t>Grey's Anatomy</t>
  </si>
  <si>
    <t>Grimm</t>
  </si>
  <si>
    <t>Handmaid's Tale, The</t>
  </si>
  <si>
    <t>Hong Kong Phooey</t>
  </si>
  <si>
    <t>House</t>
  </si>
  <si>
    <t>House of the Dragon</t>
  </si>
  <si>
    <t>How to Get Away with Murder</t>
  </si>
  <si>
    <t>I Am the Night</t>
  </si>
  <si>
    <t>Inside Amy Schumer</t>
  </si>
  <si>
    <t>IT Crowd, The</t>
  </si>
  <si>
    <t>iZombie</t>
  </si>
  <si>
    <t>Jetsons, The</t>
  </si>
  <si>
    <t>Justified</t>
  </si>
  <si>
    <t>Kennedys, The</t>
  </si>
  <si>
    <t>Kidding</t>
  </si>
  <si>
    <t>King of Queens</t>
  </si>
  <si>
    <t>Leftovers, The</t>
  </si>
  <si>
    <t>Lost</t>
  </si>
  <si>
    <t>Lovecraft Country</t>
  </si>
  <si>
    <t>Luther</t>
  </si>
  <si>
    <t>Mad Men</t>
  </si>
  <si>
    <t>Mare of Easttown</t>
  </si>
  <si>
    <t>Iron Fist</t>
  </si>
  <si>
    <t>Jessica Jones</t>
  </si>
  <si>
    <t>Luke Cage</t>
  </si>
  <si>
    <t>Mayans MC</t>
  </si>
  <si>
    <t>Men Who Built America, The</t>
  </si>
  <si>
    <t>Mentalist, The</t>
  </si>
  <si>
    <t>Modern Family</t>
  </si>
  <si>
    <t>Monk</t>
  </si>
  <si>
    <t>Mr. Robot</t>
  </si>
  <si>
    <t>Narcos</t>
  </si>
  <si>
    <t>Nathan For You</t>
  </si>
  <si>
    <t>NCIS</t>
  </si>
  <si>
    <t>Nevers, The</t>
  </si>
  <si>
    <t>Newsroom, The</t>
  </si>
  <si>
    <t>Night Manager, The</t>
  </si>
  <si>
    <t>Once Upon a Time</t>
  </si>
  <si>
    <t>Orange is the New Black</t>
  </si>
  <si>
    <t>Orphan Black</t>
  </si>
  <si>
    <t>Outlander</t>
  </si>
  <si>
    <t>Pacific, The</t>
  </si>
  <si>
    <t>Pam and Tommy</t>
  </si>
  <si>
    <t>Party Down</t>
  </si>
  <si>
    <t>Penny Dreadful</t>
  </si>
  <si>
    <t>Planet Earth</t>
  </si>
  <si>
    <t>Police Squad!</t>
  </si>
  <si>
    <t>Prison Break</t>
  </si>
  <si>
    <t>Psych</t>
  </si>
  <si>
    <t>Rabbit Hole</t>
  </si>
  <si>
    <t>Ray Donovan</t>
  </si>
  <si>
    <t>Rick and Morty</t>
  </si>
  <si>
    <t>Rocket Power</t>
  </si>
  <si>
    <t>Rome</t>
  </si>
  <si>
    <t>Schitt's Creek</t>
  </si>
  <si>
    <t>Scooby-Doo, Where Are You?</t>
  </si>
  <si>
    <t>SEC Storied</t>
  </si>
  <si>
    <t>Sherlock</t>
  </si>
  <si>
    <t>Shield, The</t>
  </si>
  <si>
    <t>Show Me a Hero</t>
  </si>
  <si>
    <t>Sinner, The</t>
  </si>
  <si>
    <t>SIX</t>
  </si>
  <si>
    <t>Smallville</t>
  </si>
  <si>
    <t>Sons of Anarchy</t>
  </si>
  <si>
    <t>Sons of Liberty</t>
  </si>
  <si>
    <t>Sopranos, The</t>
  </si>
  <si>
    <t>SouthLAnd</t>
  </si>
  <si>
    <t>Spongebob Squarepants</t>
  </si>
  <si>
    <t>Succession</t>
  </si>
  <si>
    <t>Suits</t>
  </si>
  <si>
    <t>Supergirl</t>
  </si>
  <si>
    <t>Superstore</t>
  </si>
  <si>
    <t>Taboo</t>
  </si>
  <si>
    <t>Taxi</t>
  </si>
  <si>
    <t>Terror, The</t>
  </si>
  <si>
    <t>That '70s Show</t>
  </si>
  <si>
    <t>Thick of It, The</t>
  </si>
  <si>
    <t>Thing About Pam, The</t>
  </si>
  <si>
    <t>This is Us</t>
  </si>
  <si>
    <t>Titans</t>
  </si>
  <si>
    <t>Tom and Jerry</t>
  </si>
  <si>
    <t>True Detective</t>
  </si>
  <si>
    <t>TURN: Washington's Spies</t>
  </si>
  <si>
    <t>Twin Peaks</t>
  </si>
  <si>
    <t>Veronica Mars</t>
  </si>
  <si>
    <t>Wacky Races</t>
  </si>
  <si>
    <t>Walking Dead, The</t>
  </si>
  <si>
    <t>Watchmen</t>
  </si>
  <si>
    <t>Westworld</t>
  </si>
  <si>
    <t>What We Do in the Shadows</t>
  </si>
  <si>
    <t>Whose Line is it Anyway?</t>
  </si>
  <si>
    <t>Winning Time: The Rise of the Lakers Dynasty</t>
  </si>
  <si>
    <t>Wire, The</t>
  </si>
  <si>
    <t>Workaholics</t>
  </si>
  <si>
    <t>X-Files, The</t>
  </si>
  <si>
    <t>Yellowjackets</t>
  </si>
  <si>
    <t>Yellowstone</t>
  </si>
  <si>
    <t>Yogi Bear Show, The</t>
  </si>
  <si>
    <t>Young Sheldon</t>
  </si>
  <si>
    <t>Good Girls Guide to Murder, A</t>
  </si>
  <si>
    <t>Mr. Throwback</t>
  </si>
  <si>
    <t>English Teacher</t>
  </si>
  <si>
    <t>Supacell</t>
  </si>
  <si>
    <t>Lady in the Lake</t>
  </si>
  <si>
    <t>Those About to Die</t>
  </si>
  <si>
    <t>Presumed Innocent</t>
  </si>
  <si>
    <t>Time Bandits</t>
  </si>
  <si>
    <t>Sunny</t>
  </si>
  <si>
    <t>Mallorca Files, The</t>
  </si>
  <si>
    <t>Old Man, The</t>
  </si>
  <si>
    <t>Troppo</t>
  </si>
  <si>
    <t>Industry</t>
  </si>
  <si>
    <t>Cobra Kai</t>
  </si>
  <si>
    <t>Taken Together: Who Killed Lyric and Elizabeth?</t>
  </si>
  <si>
    <t>Decameron, The</t>
  </si>
  <si>
    <t>From</t>
  </si>
  <si>
    <t>Bad Monkey</t>
  </si>
  <si>
    <t>Vikings</t>
  </si>
  <si>
    <t>Vikings: Valhalla</t>
  </si>
  <si>
    <t>Unstable</t>
  </si>
  <si>
    <t>Cowboy Cartel</t>
  </si>
  <si>
    <t>Serpent Queen, The</t>
  </si>
  <si>
    <t>Futurama</t>
  </si>
  <si>
    <t>My Lady Jane</t>
  </si>
  <si>
    <t>Dark Matter</t>
  </si>
  <si>
    <t>Severance</t>
  </si>
  <si>
    <t>Fallout</t>
  </si>
  <si>
    <t>Mayor of Kingstown</t>
  </si>
  <si>
    <t>Shogun</t>
  </si>
  <si>
    <t>Lord of the Rings, The: The Rings of Power</t>
  </si>
  <si>
    <t>Land of Women</t>
  </si>
  <si>
    <t>Snowpiercer</t>
  </si>
  <si>
    <t>Brothers Sun, The</t>
  </si>
  <si>
    <t>3 Body Problem</t>
  </si>
  <si>
    <t>Evil</t>
  </si>
  <si>
    <t>Emily in Paris</t>
  </si>
  <si>
    <t>Mr. &amp; Mrs. Smith</t>
  </si>
  <si>
    <t>Under the Bridge</t>
  </si>
  <si>
    <t>Rookie, The</t>
  </si>
  <si>
    <t>American Nightmare</t>
  </si>
  <si>
    <t>Kleo</t>
  </si>
  <si>
    <t>Baby Reindeer</t>
  </si>
  <si>
    <t>Loki</t>
  </si>
  <si>
    <t>Bel-Air</t>
  </si>
  <si>
    <t>Them</t>
  </si>
  <si>
    <t>Gen V</t>
  </si>
  <si>
    <t>Responder, The</t>
  </si>
  <si>
    <t>Tourist, The</t>
  </si>
  <si>
    <t>Tell Me Lies</t>
  </si>
  <si>
    <t>Night Agent, The</t>
  </si>
  <si>
    <t>Eric</t>
  </si>
  <si>
    <t>Stranger, The</t>
  </si>
  <si>
    <t>One Day</t>
  </si>
  <si>
    <t>We Were the Lucky Ones</t>
  </si>
  <si>
    <t>Your Honor</t>
  </si>
  <si>
    <t>Pachinko</t>
  </si>
  <si>
    <t>KAOS</t>
  </si>
  <si>
    <t>13 Reasons Why</t>
  </si>
  <si>
    <t>Blue Mountain State</t>
  </si>
  <si>
    <t>Hatfields &amp; McCoys</t>
  </si>
  <si>
    <t>Royal Pains</t>
  </si>
  <si>
    <t>Sausage Party: Foodtopia</t>
  </si>
  <si>
    <t>White Collar</t>
  </si>
  <si>
    <t>Series of Unfortunate Events, A</t>
  </si>
  <si>
    <t>Adam Ruins Everything</t>
  </si>
  <si>
    <t>After Life</t>
  </si>
  <si>
    <t>Alias Grace</t>
  </si>
  <si>
    <t>All American</t>
  </si>
  <si>
    <t>Altered Carbon</t>
  </si>
  <si>
    <t>American Vandal</t>
  </si>
  <si>
    <t>Anatomy of a Scandal</t>
  </si>
  <si>
    <t>Anne with an E</t>
  </si>
  <si>
    <t>Aquarius</t>
  </si>
  <si>
    <t>Atypical</t>
  </si>
  <si>
    <t>Aunty Donna's Big Ol' House of Fun</t>
  </si>
  <si>
    <t>Bad Sport</t>
  </si>
  <si>
    <t>Ballers</t>
  </si>
  <si>
    <t>BEEF</t>
  </si>
  <si>
    <t>Behind Her Eyes</t>
  </si>
  <si>
    <t>Black Mirror</t>
  </si>
  <si>
    <t>Bodkin</t>
  </si>
  <si>
    <t>Bodyguard</t>
  </si>
  <si>
    <t>BoJack Horseman</t>
  </si>
  <si>
    <t>Bonding</t>
  </si>
  <si>
    <t>Brand New Cherry Flavor</t>
  </si>
  <si>
    <t>Bridgerton</t>
  </si>
  <si>
    <t>Broadchurch</t>
  </si>
  <si>
    <t>Call the Midwife</t>
  </si>
  <si>
    <t>Chilling Adventures of Sabrina</t>
  </si>
  <si>
    <t>Clickbait</t>
  </si>
  <si>
    <t>Cold Case Files</t>
  </si>
  <si>
    <t>Collateral</t>
  </si>
  <si>
    <t>Comedians in Cars Getting Coffee</t>
  </si>
  <si>
    <t>Conversations with a Killer: The John Wayne Gacy Tapes</t>
  </si>
  <si>
    <t>Conversations with a Killer: The Ted Bundy Tapes</t>
  </si>
  <si>
    <t>Crashing (2)</t>
  </si>
  <si>
    <t>Dahmer</t>
  </si>
  <si>
    <t>Damnation</t>
  </si>
  <si>
    <t>Dear White People</t>
  </si>
  <si>
    <t>Derek</t>
  </si>
  <si>
    <t>Derry Girls</t>
  </si>
  <si>
    <t>Designated Survivor</t>
  </si>
  <si>
    <t>Dirty John</t>
  </si>
  <si>
    <t>Dirty Money</t>
  </si>
  <si>
    <t>Dope</t>
  </si>
  <si>
    <t>Dracula</t>
  </si>
  <si>
    <t>Evil Genius</t>
  </si>
  <si>
    <t>F is for Family</t>
  </si>
  <si>
    <t>Fear City: New York vs. the Mafia</t>
  </si>
  <si>
    <t>FIFA Uncovered</t>
  </si>
  <si>
    <t>Flaked</t>
  </si>
  <si>
    <t>Flint Town</t>
  </si>
  <si>
    <t>Friends from College</t>
  </si>
  <si>
    <t>Frontier</t>
  </si>
  <si>
    <t>Gilmore Girls</t>
  </si>
  <si>
    <t>GLOW</t>
  </si>
  <si>
    <t>Godless</t>
  </si>
  <si>
    <t>Grace and Frankie</t>
  </si>
  <si>
    <t>Great News</t>
  </si>
  <si>
    <t>Guillermo del Toro's Cabinet of Curiosities</t>
  </si>
  <si>
    <t>Gypsy</t>
  </si>
  <si>
    <t>Happy!</t>
  </si>
  <si>
    <t>Hardy Bucks</t>
  </si>
  <si>
    <t>High: Confessions of an Ibiza Drug Mule</t>
  </si>
  <si>
    <t>Historical Roasts</t>
  </si>
  <si>
    <t>History of Swear Words</t>
  </si>
  <si>
    <t>Hitler's Circle of Evil</t>
  </si>
  <si>
    <t>Hollywood</t>
  </si>
  <si>
    <t>How to Fix a Drug Scandal</t>
  </si>
  <si>
    <t>I Am Not Okay With This</t>
  </si>
  <si>
    <t>In from the Cold</t>
  </si>
  <si>
    <t>In the Dark</t>
  </si>
  <si>
    <t>Insecure</t>
  </si>
  <si>
    <t>Inside Man</t>
  </si>
  <si>
    <t>Into the Badlands</t>
  </si>
  <si>
    <t>Inventing Anna</t>
  </si>
  <si>
    <t>It's Bruno!</t>
  </si>
  <si>
    <t>Jane the Virgin</t>
  </si>
  <si>
    <t>Jeffrey Epstein: Filthy Rich</t>
  </si>
  <si>
    <t>Key &amp; Peele</t>
  </si>
  <si>
    <t>Killer Inside: The Mind of Aaron Hernandez</t>
  </si>
  <si>
    <t>Killing Eve</t>
  </si>
  <si>
    <t>Kim's Convenience</t>
  </si>
  <si>
    <t>Lady Dynamite</t>
  </si>
  <si>
    <t>Larry Charles' Dangerous World of Comedy</t>
  </si>
  <si>
    <t>Last Chance U</t>
  </si>
  <si>
    <t>Life in Colour with David Attenborough</t>
  </si>
  <si>
    <t>Life on Our Planet</t>
  </si>
  <si>
    <t>Lilyhammer</t>
  </si>
  <si>
    <t>Little Things</t>
  </si>
  <si>
    <t>Living with Yourself</t>
  </si>
  <si>
    <t>Locke &amp; Key</t>
  </si>
  <si>
    <t>Lockwood &amp; Co.</t>
  </si>
  <si>
    <t>Longmire</t>
  </si>
  <si>
    <t>Losers</t>
  </si>
  <si>
    <t>Lost in Space</t>
  </si>
  <si>
    <t>Lost Ollie</t>
  </si>
  <si>
    <t>Loudermilk</t>
  </si>
  <si>
    <t>Love</t>
  </si>
  <si>
    <t>Love, Death &amp; Robots</t>
  </si>
  <si>
    <t>Lovesick</t>
  </si>
  <si>
    <t>Lucifer</t>
  </si>
  <si>
    <t>Madam Secretary</t>
  </si>
  <si>
    <t>MADOFF: The Monster of Wall Street</t>
  </si>
  <si>
    <t>Maid</t>
  </si>
  <si>
    <t>Making a Murderer</t>
  </si>
  <si>
    <t>Maniac</t>
  </si>
  <si>
    <t>Manifest</t>
  </si>
  <si>
    <t>Marco Polo</t>
  </si>
  <si>
    <t>Martin</t>
  </si>
  <si>
    <t>Master of None</t>
  </si>
  <si>
    <t>Medal of Honor</t>
  </si>
  <si>
    <t>Medici</t>
  </si>
  <si>
    <t>Meltdown: Three Mile Island</t>
  </si>
  <si>
    <t>Messiah</t>
  </si>
  <si>
    <t>Midnight Mass</t>
  </si>
  <si>
    <t>MINDHUNTER</t>
  </si>
  <si>
    <t>Mo</t>
  </si>
  <si>
    <t>Monsters Inside: The 24 Faces of Billy Milligan</t>
  </si>
  <si>
    <t>Monty Python's Flying Circus</t>
  </si>
  <si>
    <t>Murder Among the Mormons</t>
  </si>
  <si>
    <t>Keepers, The</t>
  </si>
  <si>
    <t>Murderville</t>
  </si>
  <si>
    <t>My Wife and Kids</t>
  </si>
  <si>
    <t>Naomi Osaka</t>
  </si>
  <si>
    <t>Narcos: Mexico</t>
  </si>
  <si>
    <t>Netflix Presents: The Characters</t>
  </si>
  <si>
    <t>New Amsterdam</t>
  </si>
  <si>
    <t>Night on Earth</t>
  </si>
  <si>
    <t>Night Stalker: The Hunt for a Serial Killer</t>
  </si>
  <si>
    <t>Norm Macdonald Has a Show</t>
  </si>
  <si>
    <t>One Day at a Time</t>
  </si>
  <si>
    <t>Our Living World</t>
  </si>
  <si>
    <t>Our Planet</t>
  </si>
  <si>
    <t>Our Universe</t>
  </si>
  <si>
    <t>Ozark</t>
  </si>
  <si>
    <t>Painkiller</t>
  </si>
  <si>
    <t>Patriot Act with Hasan Minhaj</t>
  </si>
  <si>
    <t>Peaky Blinders</t>
  </si>
  <si>
    <t>Pepsi, Where's My Jet?</t>
  </si>
  <si>
    <t>Pieces of Her</t>
  </si>
  <si>
    <t>Queen Charlotte: A Bridgerton Story</t>
  </si>
  <si>
    <t>Queen of the South</t>
  </si>
  <si>
    <t>Ratched</t>
  </si>
  <si>
    <t>Reba</t>
  </si>
  <si>
    <t>Rebellion</t>
  </si>
  <si>
    <t>Red Rose</t>
  </si>
  <si>
    <t>Resident Alien</t>
  </si>
  <si>
    <t>Resident Evil</t>
  </si>
  <si>
    <t>Riverdale</t>
  </si>
  <si>
    <t>S.W.A.T.</t>
  </si>
  <si>
    <t>Safe</t>
  </si>
  <si>
    <t>Santa Clarita Diet</t>
  </si>
  <si>
    <t xml:space="preserve">	Self Made: Inspired by the Life of Madam C.J. Walker</t>
  </si>
  <si>
    <t>Sense8</t>
  </si>
  <si>
    <t>Senzo: Murder of a Soccer Star</t>
  </si>
  <si>
    <t>Seven Seconds</t>
  </si>
  <si>
    <t>Sex and the City</t>
  </si>
  <si>
    <t>Sex Education</t>
  </si>
  <si>
    <t>Shadow and Bone</t>
  </si>
  <si>
    <t>Special</t>
  </si>
  <si>
    <t>Squid Game</t>
  </si>
  <si>
    <t>Stateless</t>
  </si>
  <si>
    <t>Still Game</t>
  </si>
  <si>
    <t>Sunderland 'Til I Die</t>
  </si>
  <si>
    <t>Supernatural</t>
  </si>
  <si>
    <t>Surviving R. Kelly</t>
  </si>
  <si>
    <t>Tacoma FD</t>
  </si>
  <si>
    <t>That '90s Show</t>
  </si>
  <si>
    <t>100, The</t>
  </si>
  <si>
    <t>Chair, The</t>
  </si>
  <si>
    <t>Confession Killer, The</t>
  </si>
  <si>
    <t>Crown, The</t>
  </si>
  <si>
    <t>Cuba Libre Story, The</t>
  </si>
  <si>
    <t>Defeated, The</t>
  </si>
  <si>
    <t>Degenerates, The</t>
  </si>
  <si>
    <t>Devil Next Door, The</t>
  </si>
  <si>
    <t>Diplomat, The</t>
  </si>
  <si>
    <t>Eddy, The</t>
  </si>
  <si>
    <t>End of the F***ing World, The</t>
  </si>
  <si>
    <t>English Game, The</t>
  </si>
  <si>
    <t>Fall of the House of Usher, The</t>
  </si>
  <si>
    <t>Get Down, The</t>
  </si>
  <si>
    <t>Haunting of Bly Manor, The</t>
  </si>
  <si>
    <t>Jamie Foxx Show, The</t>
  </si>
  <si>
    <t>Kominsky Method, The</t>
  </si>
  <si>
    <t>Last Dance, The</t>
  </si>
  <si>
    <t>Last Kingdom, The</t>
  </si>
  <si>
    <t>Lincoln Lawyer, The</t>
  </si>
  <si>
    <t>Magicians, The</t>
  </si>
  <si>
    <t>Mick, The</t>
  </si>
  <si>
    <t>Mindy Project, The</t>
  </si>
  <si>
    <t>Movies That Made Us, The</t>
  </si>
  <si>
    <t>Most Hated Man on the Internet, The</t>
  </si>
  <si>
    <t>OA, The</t>
  </si>
  <si>
    <t>Originals, The</t>
  </si>
  <si>
    <t>Pentaverate, The</t>
  </si>
  <si>
    <t>Pharmacist, The</t>
  </si>
  <si>
    <t>Politician, The</t>
  </si>
  <si>
    <t>Puppet Master, The: Hunting the Ultimate Conman</t>
  </si>
  <si>
    <t>Queen’s Gambit, The</t>
  </si>
  <si>
    <t>Real Bling Ring, The: Hollywood Heist</t>
  </si>
  <si>
    <t>Recruit, The</t>
  </si>
  <si>
    <t>Resident, The</t>
  </si>
  <si>
    <t>Ripper, The</t>
  </si>
  <si>
    <t>Sandman, The</t>
  </si>
  <si>
    <t>Secret of Skinwalker Ranch, The</t>
  </si>
  <si>
    <t>Serpent, The</t>
  </si>
  <si>
    <t>Sons of Sam, The: A Descent into Darkness</t>
  </si>
  <si>
    <t>Staircase, The (2004)</t>
  </si>
  <si>
    <t>Staircase, The (2022)</t>
  </si>
  <si>
    <t>Watcher, The</t>
  </si>
  <si>
    <t>Witcher, The</t>
  </si>
  <si>
    <t>Woman in the House Across the Street from the Girl in the Window, The</t>
  </si>
  <si>
    <t>Tiger King: Murder, Mayhem and Madness</t>
  </si>
  <si>
    <t>Top Boy</t>
  </si>
  <si>
    <t>Trailer Park Boys</t>
  </si>
  <si>
    <t>Travelers</t>
  </si>
  <si>
    <t>Trial 4</t>
  </si>
  <si>
    <t>Trinkets</t>
  </si>
  <si>
    <t>Turn Up Charlie</t>
  </si>
  <si>
    <t>Ugly Betty</t>
  </si>
  <si>
    <t>Unbelievable</t>
  </si>
  <si>
    <t>Under Pressure: The U.S. Women's World Cup Team</t>
  </si>
  <si>
    <t>Van Helsing</t>
  </si>
  <si>
    <t>Verified Stand-Up</t>
  </si>
  <si>
    <t>W/ Bob &amp; David</t>
  </si>
  <si>
    <t>Waco: American Apocalypse</t>
  </si>
  <si>
    <t>Warrior Nun</t>
  </si>
  <si>
    <t>Watership Down</t>
  </si>
  <si>
    <t>Wednesday</t>
  </si>
  <si>
    <t>Wet Hot American Summer: First Day of Camp</t>
  </si>
  <si>
    <t>Wet Hot American Summer: Ten Years Later</t>
  </si>
  <si>
    <t>WHAT / IF</t>
  </si>
  <si>
    <t>When They See Us</t>
  </si>
  <si>
    <t>White Gold</t>
  </si>
  <si>
    <t>White Lines</t>
  </si>
  <si>
    <t>Who is Erin Carter?</t>
  </si>
  <si>
    <t>Who Killed Malcolm X?</t>
  </si>
  <si>
    <t>Workin' Moms</t>
  </si>
  <si>
    <t>Wormwood</t>
  </si>
  <si>
    <t>Worst Roommate Ever</t>
  </si>
  <si>
    <t>Wynonna Earp</t>
  </si>
  <si>
    <t>You</t>
  </si>
  <si>
    <t>24: Legacy</t>
  </si>
  <si>
    <t>9-1-1</t>
  </si>
  <si>
    <t>A Christmas Carol</t>
  </si>
  <si>
    <t>American Horror Stories</t>
  </si>
  <si>
    <t>Apple Tree Yard</t>
  </si>
  <si>
    <t>A Small Light</t>
  </si>
  <si>
    <t>Atlanta</t>
  </si>
  <si>
    <t>Baby Daddy</t>
  </si>
  <si>
    <t>Baskets</t>
  </si>
  <si>
    <t>Big Sky</t>
  </si>
  <si>
    <t>Black Cake</t>
  </si>
  <si>
    <t>Black-ish</t>
  </si>
  <si>
    <t>Boston Legal</t>
  </si>
  <si>
    <t>Broad City</t>
  </si>
  <si>
    <t>Candy</t>
  </si>
  <si>
    <t>Cardinal</t>
  </si>
  <si>
    <t>Castle</t>
  </si>
  <si>
    <t>Casey Anthony: An American Murder Mystery</t>
  </si>
  <si>
    <t>Chance</t>
  </si>
  <si>
    <t>Tires</t>
  </si>
  <si>
    <t>Cloak &amp; Dagger</t>
  </si>
  <si>
    <t>Cougar Town</t>
  </si>
  <si>
    <t>Cruel Summer</t>
  </si>
  <si>
    <t>Criminal Minds</t>
  </si>
  <si>
    <t>Damages</t>
  </si>
  <si>
    <t>Dark Side of the '90s</t>
  </si>
  <si>
    <t>Dark Side of the 2000s</t>
  </si>
  <si>
    <t>Dark Side of Comedy</t>
  </si>
  <si>
    <t>Das Boot</t>
  </si>
  <si>
    <t>Dave</t>
  </si>
  <si>
    <t>Devs</t>
  </si>
  <si>
    <t>Dopesick</t>
  </si>
  <si>
    <t>Elementary</t>
  </si>
  <si>
    <t>Empire</t>
  </si>
  <si>
    <t>Everybody Hates Chris</t>
  </si>
  <si>
    <t>FDR</t>
  </si>
  <si>
    <t>Firefly</t>
  </si>
  <si>
    <t>Fleishman is in Trouble</t>
  </si>
  <si>
    <t>For the People</t>
  </si>
  <si>
    <t>Fosse/Verdon</t>
  </si>
  <si>
    <t>Freaks and Geeks</t>
  </si>
  <si>
    <t>Fresh Off the Boat</t>
  </si>
  <si>
    <t>Gangland Undercover</t>
  </si>
  <si>
    <t>Glee</t>
  </si>
  <si>
    <t>Greek</t>
  </si>
  <si>
    <t>Grown-ish</t>
  </si>
  <si>
    <t>Happy Endings</t>
  </si>
  <si>
    <t>High Fidelity</t>
  </si>
  <si>
    <t>Homeland</t>
  </si>
  <si>
    <t>Kindred</t>
  </si>
  <si>
    <t>King of the Hill</t>
  </si>
  <si>
    <t>LA Law</t>
  </si>
  <si>
    <t>Last Man Standing</t>
  </si>
  <si>
    <t>Law &amp; Order: Special Victims Unit</t>
  </si>
  <si>
    <t>Legion</t>
  </si>
  <si>
    <t>Legit</t>
  </si>
  <si>
    <t>Letterkenny</t>
  </si>
  <si>
    <t>Lie to Me</t>
  </si>
  <si>
    <t>Life &amp; Beth</t>
  </si>
  <si>
    <t>Life in Pieces</t>
  </si>
  <si>
    <t>Love, Victor</t>
  </si>
  <si>
    <t>Married… With Children</t>
  </si>
  <si>
    <t>M*A*S*H</t>
  </si>
  <si>
    <t>Mixed-ish</t>
  </si>
  <si>
    <t>Mom</t>
  </si>
  <si>
    <t>M.O.D.O.K.</t>
  </si>
  <si>
    <t>Mrs. America</t>
  </si>
  <si>
    <t>Mr. Inbetween</t>
  </si>
  <si>
    <t>My Name is Earl</t>
  </si>
  <si>
    <t>My So-Called Life</t>
  </si>
  <si>
    <t>New Girl</t>
  </si>
  <si>
    <t>One Mississippi</t>
  </si>
  <si>
    <t>One Tree Hill</t>
  </si>
  <si>
    <t>Outsiders</t>
  </si>
  <si>
    <t>Parenthood</t>
  </si>
  <si>
    <t>PEN15</t>
  </si>
  <si>
    <t>Ramy</t>
  </si>
  <si>
    <t>Raising Hope</t>
  </si>
  <si>
    <t>Reboot</t>
  </si>
  <si>
    <t>Revenge</t>
  </si>
  <si>
    <t>Sabrina the Teenage Witch</t>
  </si>
  <si>
    <t>Salem</t>
  </si>
  <si>
    <t>Secrets of the Octopus</t>
  </si>
  <si>
    <t>Secrets of the Whales</t>
  </si>
  <si>
    <t>Secrets of the Zoo</t>
  </si>
  <si>
    <t>Sex &amp; Drugs &amp; Rock &amp; Roll</t>
  </si>
  <si>
    <t>Shrill</t>
  </si>
  <si>
    <t>Single Parents</t>
  </si>
  <si>
    <t>Siren</t>
  </si>
  <si>
    <t>Sleepy Hollow</t>
  </si>
  <si>
    <t>Snowfall</t>
  </si>
  <si>
    <t>St. Elsewhere</t>
  </si>
  <si>
    <t>Station 19</t>
  </si>
  <si>
    <t>Such Brave Girls</t>
  </si>
  <si>
    <t>Bernie Mac Show, The</t>
  </si>
  <si>
    <t>Curse of Oak Island, The</t>
  </si>
  <si>
    <t>Dropout, The</t>
  </si>
  <si>
    <t>Defiant Ones, The</t>
  </si>
  <si>
    <t>Eric Andre Show, The</t>
  </si>
  <si>
    <t>Exorcist, The</t>
  </si>
  <si>
    <t>Full Monty, The</t>
  </si>
  <si>
    <t>Gifted, The</t>
  </si>
  <si>
    <t>Goldbergs, The</t>
  </si>
  <si>
    <t>Good Doctor, The</t>
  </si>
  <si>
    <t>Great, The</t>
  </si>
  <si>
    <t>Good Mothers, The</t>
  </si>
  <si>
    <t>Great North, The</t>
  </si>
  <si>
    <t>Looming Tower, The</t>
  </si>
  <si>
    <t>Last Man on Earth, The</t>
  </si>
  <si>
    <t>Orville, The</t>
  </si>
  <si>
    <t>Purge, The</t>
  </si>
  <si>
    <t>Strain, The</t>
  </si>
  <si>
    <t>Treadstone</t>
  </si>
  <si>
    <t>Trust</t>
  </si>
  <si>
    <t>Under the Banner of Heaven</t>
  </si>
  <si>
    <t>Wayward Pines</t>
  </si>
  <si>
    <t>Welcome to Chippendales</t>
  </si>
  <si>
    <t>Welcome to Wrexham</t>
  </si>
  <si>
    <t>Wilfred</t>
  </si>
  <si>
    <t>Will &amp; Grace</t>
  </si>
  <si>
    <t>Will Trent</t>
  </si>
  <si>
    <t>21 Jump Street</t>
  </si>
  <si>
    <t>99</t>
  </si>
  <si>
    <t>A League of Their Own</t>
  </si>
  <si>
    <t>American Playboy: The Hugh Hefner Story</t>
  </si>
  <si>
    <t>America's Secret Slang</t>
  </si>
  <si>
    <t>Animal Kingdom</t>
  </si>
  <si>
    <t>As We See It</t>
  </si>
  <si>
    <t>A Very British Coup</t>
  </si>
  <si>
    <t>A Very English Scandal</t>
  </si>
  <si>
    <t>Betas</t>
  </si>
  <si>
    <t>Billions</t>
  </si>
  <si>
    <t>Born to Kill?</t>
  </si>
  <si>
    <t>Bosch</t>
  </si>
  <si>
    <t>Brockmire</t>
  </si>
  <si>
    <t>Bull</t>
  </si>
  <si>
    <t>Carnival Row</t>
  </si>
  <si>
    <t>Catastrophe</t>
  </si>
  <si>
    <t>Dirk Gently's Holistic Detective Agency</t>
  </si>
  <si>
    <t>Dispatches from Elsewhere</t>
  </si>
  <si>
    <t>Electric Dreams</t>
  </si>
  <si>
    <t>Fear the Walking Dead</t>
  </si>
  <si>
    <t>Fellow Travelers</t>
  </si>
  <si>
    <t>Flowers</t>
  </si>
  <si>
    <t>Gangs of London</t>
  </si>
  <si>
    <t>Goliath</t>
  </si>
  <si>
    <t>Hand of God</t>
  </si>
  <si>
    <t>Hannibal</t>
  </si>
  <si>
    <t>Hap and Leonard</t>
  </si>
  <si>
    <t>Hanna</t>
  </si>
  <si>
    <t>Heroes</t>
  </si>
  <si>
    <t>How the States Got Their Shapes</t>
  </si>
  <si>
    <t>How the Earth was Made</t>
  </si>
  <si>
    <t>Hunters</t>
  </si>
  <si>
    <t>Interview with the Vampire</t>
  </si>
  <si>
    <t>Jean-Claude van Johnson</t>
  </si>
  <si>
    <t>Jeff Ross Presents Roast Battle</t>
  </si>
  <si>
    <t>Jimi Hendrix: The Uncut Story</t>
  </si>
  <si>
    <t>Lore</t>
  </si>
  <si>
    <t>Lorena</t>
  </si>
  <si>
    <t>LuLaRich</t>
  </si>
  <si>
    <t>Merlin</t>
  </si>
  <si>
    <t>Minx</t>
  </si>
  <si>
    <t>Modern Love</t>
  </si>
  <si>
    <t>Mozart in the Jungle</t>
  </si>
  <si>
    <t>Murder at My Door</t>
  </si>
  <si>
    <t>Northern Exposure</t>
  </si>
  <si>
    <t>Orphan Black: Echoes</t>
  </si>
  <si>
    <t>Outer Range</t>
  </si>
  <si>
    <t>Patriot</t>
  </si>
  <si>
    <t>People Like Us</t>
  </si>
  <si>
    <t>Power</t>
  </si>
  <si>
    <t>Preacher</t>
  </si>
  <si>
    <t>Pretty Little Liars</t>
  </si>
  <si>
    <t>Reacher</t>
  </si>
  <si>
    <t>Jack Ryan</t>
  </si>
  <si>
    <t>Reign</t>
  </si>
  <si>
    <t>Sneaky Pete</t>
  </si>
  <si>
    <t>Small Axe</t>
  </si>
  <si>
    <t>Spin City</t>
  </si>
  <si>
    <t>Teen Wolf</t>
  </si>
  <si>
    <t>English, The</t>
  </si>
  <si>
    <t>Horror of Dolores Roach, The</t>
  </si>
  <si>
    <t>Inbetweeners, The</t>
  </si>
  <si>
    <t>Last Tycoon, The</t>
  </si>
  <si>
    <t>Librarians, The</t>
  </si>
  <si>
    <t>Marvelous Mrs. Maisel, The</t>
  </si>
  <si>
    <t>Peripheral, The</t>
  </si>
  <si>
    <t>Tick, The (2016)</t>
  </si>
  <si>
    <t>Vietnam War, The</t>
  </si>
  <si>
    <t>Wheel of Time, The</t>
  </si>
  <si>
    <t>White Princess, The</t>
  </si>
  <si>
    <t>White Queen, The</t>
  </si>
  <si>
    <t>Wilds, The</t>
  </si>
  <si>
    <t>This is Going to Hurt</t>
  </si>
  <si>
    <t>Three Pines</t>
  </si>
  <si>
    <t>Transparent</t>
  </si>
  <si>
    <t>Undone</t>
  </si>
  <si>
    <t>ZeroZeroZero</t>
  </si>
  <si>
    <t>Z: The Beginning of Everything</t>
  </si>
  <si>
    <t>1968: The Year that Changed America</t>
  </si>
  <si>
    <t>A Black Lady Sketch Show</t>
  </si>
  <si>
    <t>All Rise</t>
  </si>
  <si>
    <t>Angels in America</t>
  </si>
  <si>
    <t>Nora from Queens</t>
  </si>
  <si>
    <t>Banshee</t>
  </si>
  <si>
    <t>Bored to Death</t>
  </si>
  <si>
    <t>Carnivale</t>
  </si>
  <si>
    <t>Doctor Who</t>
  </si>
  <si>
    <t>Dynasties</t>
  </si>
  <si>
    <t>Euphoria</t>
  </si>
  <si>
    <t>Falling Skies</t>
  </si>
  <si>
    <t>Family Matters</t>
  </si>
  <si>
    <t>Flight of the Conchords</t>
  </si>
  <si>
    <t>Fringe</t>
  </si>
  <si>
    <t>Generation Kill</t>
  </si>
  <si>
    <t>Garfunkel and Oates</t>
  </si>
  <si>
    <t>George Carlin's American Dream</t>
  </si>
  <si>
    <t>Girls</t>
  </si>
  <si>
    <t>Gomorrah</t>
  </si>
  <si>
    <t>Good Behavior</t>
  </si>
  <si>
    <t>Gotham Knights</t>
  </si>
  <si>
    <t>Gossip Girl</t>
  </si>
  <si>
    <t>Hacks</t>
  </si>
  <si>
    <t>His Dark Materials</t>
  </si>
  <si>
    <t>History of the Sitcom</t>
  </si>
  <si>
    <t>Hung</t>
  </si>
  <si>
    <t>How to with John Wilson</t>
  </si>
  <si>
    <t>I Know This Much is True</t>
  </si>
  <si>
    <t>I'm Sorry</t>
  </si>
  <si>
    <t>Irma Vep</t>
  </si>
  <si>
    <t>Jett</t>
  </si>
  <si>
    <t>Joe Pera Talks with You</t>
  </si>
  <si>
    <t>Julia</t>
  </si>
  <si>
    <t>Leaving Neverland</t>
  </si>
  <si>
    <t>Life</t>
  </si>
  <si>
    <t>Lois &amp; Clark: The New Adventures of Superman</t>
  </si>
  <si>
    <t>Love &amp; Death</t>
  </si>
  <si>
    <t>McMillions</t>
  </si>
  <si>
    <t>Mike &amp; Molly</t>
  </si>
  <si>
    <t>Hell on Wheels</t>
  </si>
  <si>
    <t>Miracle Workers</t>
  </si>
  <si>
    <t>Mosaic</t>
  </si>
  <si>
    <t>Mr. Show</t>
  </si>
  <si>
    <t>My Brilliant Friend</t>
  </si>
  <si>
    <t>Nancy Drew</t>
  </si>
  <si>
    <t>Our Boys</t>
  </si>
  <si>
    <t>Our Flag Means Death</t>
  </si>
  <si>
    <t>Oz</t>
  </si>
  <si>
    <t>Peacemaker</t>
  </si>
  <si>
    <t>Pennyworth</t>
  </si>
  <si>
    <t>Perry Mason</t>
  </si>
  <si>
    <t>Planet Earth II</t>
  </si>
  <si>
    <t>Q: Into the Storm</t>
  </si>
  <si>
    <t>Room 104</t>
  </si>
  <si>
    <t>Search Party</t>
  </si>
  <si>
    <t>Shaq</t>
  </si>
  <si>
    <t>South Side</t>
  </si>
  <si>
    <t>Spy/Master</t>
  </si>
  <si>
    <t>Stargirl</t>
  </si>
  <si>
    <t>Starstruck</t>
  </si>
  <si>
    <t>Station Eleven</t>
  </si>
  <si>
    <t>Superman &amp; Lois</t>
  </si>
  <si>
    <t>Telemarketers</t>
  </si>
  <si>
    <t>That Damn Michael Che</t>
  </si>
  <si>
    <t>2000s, The</t>
  </si>
  <si>
    <t>2010s, The</t>
  </si>
  <si>
    <t>Baby, The</t>
  </si>
  <si>
    <t>Aquarium, The</t>
  </si>
  <si>
    <t>Comeback, The</t>
  </si>
  <si>
    <t>Cleaning Lady, The</t>
  </si>
  <si>
    <t>Deuce, The</t>
  </si>
  <si>
    <t>Dead Wives Club, The</t>
  </si>
  <si>
    <t>Gilded Age, The</t>
  </si>
  <si>
    <t>History of Comedy, The</t>
  </si>
  <si>
    <t>Jinx, The: The Life and Deaths of Robert Durst</t>
  </si>
  <si>
    <t>Knick, The</t>
  </si>
  <si>
    <t>Lady and the Dale, The</t>
  </si>
  <si>
    <t>Lake Erie Murders, The</t>
  </si>
  <si>
    <t>Larry Sanders Show, The</t>
  </si>
  <si>
    <t>Last Movie Stars, The</t>
  </si>
  <si>
    <t>Last of Us, The</t>
  </si>
  <si>
    <t>Last Ship, The</t>
  </si>
  <si>
    <t>Murders at White House Farm, The</t>
  </si>
  <si>
    <t>New Pope, The</t>
  </si>
  <si>
    <t>Nineties, The</t>
  </si>
  <si>
    <t>No. 1 Ladies' Detective Agency, The</t>
  </si>
  <si>
    <t>OC, The</t>
  </si>
  <si>
    <t>Other Two, The</t>
  </si>
  <si>
    <t>People vs. the Klan, The</t>
  </si>
  <si>
    <t>Plot Against America, The</t>
  </si>
  <si>
    <t>Rehearsal, The</t>
  </si>
  <si>
    <t>Righteous Gemstones, The</t>
  </si>
  <si>
    <t>Seventies, The</t>
  </si>
  <si>
    <t>Sex Lives of College Girls, The</t>
  </si>
  <si>
    <t>Sixties, The</t>
  </si>
  <si>
    <t>Sympathizer, The</t>
  </si>
  <si>
    <t>Vampire Diaries, The</t>
  </si>
  <si>
    <t>Way Down, The</t>
  </si>
  <si>
    <t>West Wing, The</t>
  </si>
  <si>
    <t>White Lotus, The</t>
  </si>
  <si>
    <t>Young Pope, The</t>
  </si>
  <si>
    <t>Zen Diaries of Garry Shandling, The</t>
  </si>
  <si>
    <t>Zoo, The</t>
  </si>
  <si>
    <t>Zoo, The: San Diego</t>
  </si>
  <si>
    <t>Tim and Eric Awesome Show, Great Job!</t>
  </si>
  <si>
    <t>Tokyo Vice</t>
  </si>
  <si>
    <t>Torchwood</t>
  </si>
  <si>
    <t>Tricky Dick</t>
  </si>
  <si>
    <t>Treme</t>
  </si>
  <si>
    <t>True Blood</t>
  </si>
  <si>
    <t>Warrior</t>
  </si>
  <si>
    <t>Wellington Paranormal</t>
  </si>
  <si>
    <t>What's My Name: Muhammad Ali</t>
  </si>
  <si>
    <t>White House Plumbers</t>
  </si>
  <si>
    <t>Alias</t>
  </si>
  <si>
    <t>Daredevil</t>
  </si>
  <si>
    <t>Dian Fossey: Secrets in the Mist</t>
  </si>
  <si>
    <t>Echo</t>
  </si>
  <si>
    <t>Hawkeye</t>
  </si>
  <si>
    <t>Inside Pixar</t>
  </si>
  <si>
    <t>JFK: One Day in America</t>
  </si>
  <si>
    <t>Lance</t>
  </si>
  <si>
    <t>Mars</t>
  </si>
  <si>
    <t>Moon Knight</t>
  </si>
  <si>
    <t>Ms. Marvel</t>
  </si>
  <si>
    <t>Stan Lee's Superhumans</t>
  </si>
  <si>
    <t>Punisher, The</t>
  </si>
  <si>
    <t>Marvel's What If…?</t>
  </si>
  <si>
    <t>1971: The Year that Music Changed Everything</t>
  </si>
  <si>
    <t>Awkward.</t>
  </si>
  <si>
    <t>Bad Sisters</t>
  </si>
  <si>
    <t>Black Bird</t>
  </si>
  <si>
    <t>Boom! Boom! The World vs. Boris Becker</t>
  </si>
  <si>
    <t>Comedy Central Roasts</t>
  </si>
  <si>
    <t>Crazy Ex-Girlfriend</t>
  </si>
  <si>
    <t>Dickinson</t>
  </si>
  <si>
    <t>Drops of God</t>
  </si>
  <si>
    <t>Entourage</t>
  </si>
  <si>
    <t>Five Days at Memorial</t>
  </si>
  <si>
    <t>For All Mankind</t>
  </si>
  <si>
    <t>Foundation</t>
  </si>
  <si>
    <t>Hijack</t>
  </si>
  <si>
    <t>Home Before Dark</t>
  </si>
  <si>
    <t>Lessons in Chemistry</t>
  </si>
  <si>
    <t>Little America</t>
  </si>
  <si>
    <t>Loot</t>
  </si>
  <si>
    <t>Manhunt</t>
  </si>
  <si>
    <t>Masters of the Air</t>
  </si>
  <si>
    <t>Messi's World Cup: The Rise of a Legend</t>
  </si>
  <si>
    <t>Monarch: Legacy of Monsters</t>
  </si>
  <si>
    <t>Mr. Corman</t>
  </si>
  <si>
    <t>Palm Royale</t>
  </si>
  <si>
    <t>Physical</t>
  </si>
  <si>
    <t>Platonic</t>
  </si>
  <si>
    <t>Project Blue Book</t>
  </si>
  <si>
    <t>Schmigadoon!</t>
  </si>
  <si>
    <t>Scream Queens</t>
  </si>
  <si>
    <t>See</t>
  </si>
  <si>
    <t>Servant</t>
  </si>
  <si>
    <t>Shantaram</t>
  </si>
  <si>
    <t>Shining Girls</t>
  </si>
  <si>
    <t>Shrinking</t>
  </si>
  <si>
    <t>Silo</t>
  </si>
  <si>
    <t>Slow Horses</t>
  </si>
  <si>
    <t>Steve! Martin: A Documentary in 2 Pieces</t>
  </si>
  <si>
    <t>Super League: The War for Football</t>
  </si>
  <si>
    <t>Tehran</t>
  </si>
  <si>
    <t>Big Conn, The</t>
  </si>
  <si>
    <t>Afterparty, The</t>
  </si>
  <si>
    <t>Completely Made-Up Adventures of Dick Turpin, The</t>
  </si>
  <si>
    <t>Crowded Room, The</t>
  </si>
  <si>
    <t>Enemy Within, The</t>
  </si>
  <si>
    <t>Last Days of Ptolemy Grey, The</t>
  </si>
  <si>
    <t>Last Thing He Told Me, The</t>
  </si>
  <si>
    <t>Mosquito Coast, The</t>
  </si>
  <si>
    <t>Shrink Next Door, The</t>
  </si>
  <si>
    <t>New Look, The</t>
  </si>
  <si>
    <t>Trying</t>
  </si>
  <si>
    <t>WeCrashed</t>
  </si>
  <si>
    <t>A Friend of the Family</t>
  </si>
  <si>
    <t>Baroness von Sketch Show</t>
  </si>
  <si>
    <t>Based on a True Story</t>
  </si>
  <si>
    <t>Brave New World</t>
  </si>
  <si>
    <t>Bupkis</t>
  </si>
  <si>
    <t>Covert Affairs</t>
  </si>
  <si>
    <t>Dr. Death</t>
  </si>
  <si>
    <t>Extras</t>
  </si>
  <si>
    <t>Everybody Loves Raymond</t>
  </si>
  <si>
    <t>John Wayne Gacy: The Devil in Disguise</t>
  </si>
  <si>
    <t>Kingdom</t>
  </si>
  <si>
    <t>Killing It</t>
  </si>
  <si>
    <t>Law &amp; Order</t>
  </si>
  <si>
    <t>Law &amp; Order: Criminal Intent</t>
  </si>
  <si>
    <t>Law &amp; Order: Organized Crime</t>
  </si>
  <si>
    <t>Mr. Mercedes</t>
  </si>
  <si>
    <t>Mrs. Davis</t>
  </si>
  <si>
    <t>Necessary Roughness</t>
  </si>
  <si>
    <t>One of Us is Lying</t>
  </si>
  <si>
    <t>Poker Face</t>
  </si>
  <si>
    <t>Rutherford Falls</t>
  </si>
  <si>
    <t>Smash</t>
  </si>
  <si>
    <t>Ted</t>
  </si>
  <si>
    <t>Calling, The</t>
  </si>
  <si>
    <t>Lost Symbol, The</t>
  </si>
  <si>
    <t>Middle, The</t>
  </si>
  <si>
    <t>Nanny, The</t>
  </si>
  <si>
    <t>Musketeers, The</t>
  </si>
  <si>
    <t>Principal, The</t>
  </si>
  <si>
    <t>Resort, The</t>
  </si>
  <si>
    <t>Tattooist of Auschwitz, The</t>
  </si>
  <si>
    <t>Transplant</t>
  </si>
  <si>
    <t>A Gentleman in Moscow</t>
  </si>
  <si>
    <t>Corporate</t>
  </si>
  <si>
    <t>Ghosts (UK)</t>
  </si>
  <si>
    <t>Halo</t>
  </si>
  <si>
    <t>Hot in Cleveland</t>
  </si>
  <si>
    <t>Jackass</t>
  </si>
  <si>
    <t>Jericho</t>
  </si>
  <si>
    <t>Limitless</t>
  </si>
  <si>
    <t>Scorpion</t>
  </si>
  <si>
    <t>So Help Me Todd</t>
  </si>
  <si>
    <t>Strangers with Candy</t>
  </si>
  <si>
    <t>The Good Wife</t>
  </si>
  <si>
    <t>Good Wife, The</t>
  </si>
  <si>
    <t>Good Fight, The</t>
  </si>
  <si>
    <t>Jeselnik Offensive, The</t>
  </si>
  <si>
    <t>Jim Gaffigan Show, The</t>
  </si>
  <si>
    <t>Meltdown with Jonah and Kumail, The</t>
  </si>
  <si>
    <t>Offer, The</t>
  </si>
  <si>
    <t>Woman in the Wall, The</t>
  </si>
  <si>
    <t>Tracker</t>
  </si>
  <si>
    <t>Tulsa King</t>
  </si>
  <si>
    <t>Under the Dome</t>
  </si>
  <si>
    <t>Why Women Kill</t>
  </si>
  <si>
    <t>Wings</t>
  </si>
  <si>
    <t>Show</t>
  </si>
  <si>
    <t>30/60</t>
  </si>
  <si>
    <t>Franchise</t>
  </si>
  <si>
    <t>Documentary</t>
  </si>
  <si>
    <t>Mini</t>
  </si>
  <si>
    <t>Movie</t>
  </si>
  <si>
    <t>Anthology/Sketch/Documentary</t>
  </si>
  <si>
    <t>Fresh Prince</t>
  </si>
  <si>
    <t>Weeds</t>
  </si>
  <si>
    <t>Cold Case</t>
  </si>
  <si>
    <t>Difficult People</t>
  </si>
  <si>
    <t>Walking Dead</t>
  </si>
  <si>
    <t>Gentlemen, The</t>
  </si>
  <si>
    <t>Lord of the Rings</t>
  </si>
  <si>
    <t>Manhunt: Unabomber</t>
  </si>
  <si>
    <t>The Godfather</t>
  </si>
  <si>
    <t>Years and Years</t>
  </si>
  <si>
    <t>Man in the High Tower, The</t>
  </si>
  <si>
    <t>Curse, The</t>
  </si>
  <si>
    <t>60</t>
  </si>
  <si>
    <t>That 70s Show</t>
  </si>
  <si>
    <t>Umbrella Academy, The</t>
  </si>
  <si>
    <t>White Queen</t>
  </si>
  <si>
    <t>Column2</t>
  </si>
  <si>
    <t>Column3</t>
  </si>
  <si>
    <t>Total</t>
  </si>
  <si>
    <t>Total Weights</t>
  </si>
  <si>
    <t>Random Weight</t>
  </si>
  <si>
    <t>Random Weight Row</t>
  </si>
  <si>
    <t>Choice</t>
  </si>
  <si>
    <t>Scotty</t>
  </si>
  <si>
    <t>Shelby</t>
  </si>
  <si>
    <t>All The Light We Cannot See</t>
  </si>
  <si>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</si>
  <si>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</si>
  <si>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</si>
  <si>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</si>
  <si>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</si>
  <si>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</si>
  <si>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</si>
  <si>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Agents of SHIELD S01</t>
  </si>
  <si>
    <t>Thor: The Dark World</t>
  </si>
  <si>
    <t>Captain America: The Winter Soldier</t>
  </si>
  <si>
    <t>Guardians of the Galaxy</t>
  </si>
  <si>
    <t>Agents of SHIELD S02</t>
  </si>
  <si>
    <t>Agent Carter S01</t>
  </si>
  <si>
    <t>Daredevil S01</t>
  </si>
  <si>
    <t>Avengers: Age of Ultron</t>
  </si>
  <si>
    <t>Ant-Man</t>
  </si>
  <si>
    <t>Agents of SHIELD S03</t>
  </si>
  <si>
    <t>Jessica Jones S01</t>
  </si>
  <si>
    <t>Agent Carter S02</t>
  </si>
  <si>
    <t>Daredevil S02</t>
  </si>
  <si>
    <t>Captain America: Civil War</t>
  </si>
  <si>
    <t>Agents of SHIELD S04</t>
  </si>
  <si>
    <t>Luke Cage S01</t>
  </si>
  <si>
    <t>Doctor Strange</t>
  </si>
  <si>
    <t>Iron Fist S01</t>
  </si>
  <si>
    <t>Guardians of the Galaxy Vol. 2</t>
  </si>
  <si>
    <t>Spider-Man: Homecoming</t>
  </si>
  <si>
    <t>The Defenders S01</t>
  </si>
  <si>
    <t>Inhumans S01</t>
  </si>
  <si>
    <t>Thor: Ragnarok</t>
  </si>
  <si>
    <t>The Punisher S01</t>
  </si>
  <si>
    <t>Runaways S01</t>
  </si>
  <si>
    <t>Agents of SHIELD S05</t>
  </si>
  <si>
    <t>Black Panther</t>
  </si>
  <si>
    <t>Jessica Jones S02</t>
  </si>
  <si>
    <t>Avengers: Infinity War</t>
  </si>
  <si>
    <t>Cloak &amp; Dagger S01</t>
  </si>
  <si>
    <t>Luke Cage S02</t>
  </si>
  <si>
    <t>Ant-Man and the Wasp</t>
  </si>
  <si>
    <t>Iron Fist S02</t>
  </si>
  <si>
    <t>Daredevil S03</t>
  </si>
  <si>
    <t>Runaways S02</t>
  </si>
  <si>
    <t>The Punisher S02</t>
  </si>
  <si>
    <t>Captain Marvel</t>
  </si>
  <si>
    <t>Cloak &amp; Dagger S02</t>
  </si>
  <si>
    <t>Avengers: Endgame</t>
  </si>
  <si>
    <t>Agents of SHIELD S06</t>
  </si>
  <si>
    <t>Jessica Jones S03</t>
  </si>
  <si>
    <t>Spider-Man: Far From Home</t>
  </si>
  <si>
    <t>Runaways S03</t>
  </si>
  <si>
    <t>Agents of SHIELD S07</t>
  </si>
  <si>
    <t>Helstrom S01</t>
  </si>
  <si>
    <t>WandaVision S01</t>
  </si>
  <si>
    <t>The Falcon and Winter Soldier S01</t>
  </si>
  <si>
    <t>Loki S01</t>
  </si>
  <si>
    <t>Black Widow</t>
  </si>
  <si>
    <t>What If…? S01</t>
  </si>
  <si>
    <t>Shang-Chi and the Legend of the Ten Rings</t>
  </si>
  <si>
    <t>Eternals</t>
  </si>
  <si>
    <t>Hawkeye S01</t>
  </si>
  <si>
    <t>Spider-Man: No Way Home</t>
  </si>
  <si>
    <t>Moon Knight S01</t>
  </si>
  <si>
    <t>Doctor Strange in the Multiverse of Madness</t>
  </si>
  <si>
    <t>Ms. Marvel S01</t>
  </si>
  <si>
    <t>Thor: Love and Thunder</t>
  </si>
  <si>
    <t>I Am Groot S01</t>
  </si>
  <si>
    <t>She-Hulk: Attorney at Law S01</t>
  </si>
  <si>
    <t>Werewolf By Night S01</t>
  </si>
  <si>
    <t>Black Panther: Wakanda Forever</t>
  </si>
  <si>
    <t>The Guardians of the Galaxy Holiday Special</t>
  </si>
  <si>
    <t>Ant-Man and the Wasp: Quantumania</t>
  </si>
  <si>
    <t>Guardians of the Galaxy Vol. 3</t>
  </si>
  <si>
    <t>Secret Invasion S01</t>
  </si>
  <si>
    <t>I Am Groot S02</t>
  </si>
  <si>
    <t>Loki S02</t>
  </si>
  <si>
    <t>The Marvels</t>
  </si>
  <si>
    <t>What If…? S02</t>
  </si>
  <si>
    <t>Echo S01</t>
  </si>
  <si>
    <t>Deadpool &amp; Wolverine</t>
  </si>
  <si>
    <t>Arrow S01E01 Pilot</t>
  </si>
  <si>
    <t>Arrow S01E02 Honor Thy Father</t>
  </si>
  <si>
    <t>Arrow S01E03 Lone Gunmen</t>
  </si>
  <si>
    <t>Arrow S01E04 An Innocent Man</t>
  </si>
  <si>
    <t>Arrow S01E05 Damaged</t>
  </si>
  <si>
    <t>Arrow S01E06 Legacies</t>
  </si>
  <si>
    <t>Arrow S01E07 Muse of Fire</t>
  </si>
  <si>
    <t>Arrow S01E08 Vendetta</t>
  </si>
  <si>
    <t>Arrow S01E09 Year's End</t>
  </si>
  <si>
    <t>Arrow S01E10 Burned</t>
  </si>
  <si>
    <t>Arrow S01E11 Trust but Verify</t>
  </si>
  <si>
    <t>Arrow S01E12 Vertigo</t>
  </si>
  <si>
    <t>Arrow S01E13 Betrayal</t>
  </si>
  <si>
    <t>Arrow S01E14 The Odyssey</t>
  </si>
  <si>
    <t>Arrow S01E15 Dodger</t>
  </si>
  <si>
    <t>Arrow S01E16 Dead to Rights</t>
  </si>
  <si>
    <t>Arrow S01E17 The Huntress Returns</t>
  </si>
  <si>
    <t>Arrow S01E18 Salvation</t>
  </si>
  <si>
    <t>Arrow S01E19 Unfinished Business</t>
  </si>
  <si>
    <t>Arrow S01E20 Home Invasion</t>
  </si>
  <si>
    <t>Arrow S01E21 The Undertaking</t>
  </si>
  <si>
    <t>Arrow S01E22 Darkness on the Edge of Town</t>
  </si>
  <si>
    <t>Arrow S01E23 Sacrifice</t>
  </si>
  <si>
    <t>Arrow S02E01 City of Heroes</t>
  </si>
  <si>
    <t>Arrow S02E02 Identity</t>
  </si>
  <si>
    <t>Arrow S02E03 Broken Dolls</t>
  </si>
  <si>
    <t>Arrow S02E04 Crucible</t>
  </si>
  <si>
    <t>Arrow S02E05 League of Assassins</t>
  </si>
  <si>
    <t>Arrow S02E06 Keep Your Enemies Closer</t>
  </si>
  <si>
    <t>Arrow S02E07 State v. Queen</t>
  </si>
  <si>
    <t>Arrow S02E08 The Scientist</t>
  </si>
  <si>
    <t>Arrow S02E09 Three Ghosts</t>
  </si>
  <si>
    <t>Arrow S02E10 Blast Radius</t>
  </si>
  <si>
    <t>Arrow S02E11 Blind Spot</t>
  </si>
  <si>
    <t>Arrow S02E12 Tremors</t>
  </si>
  <si>
    <t>Arrow S02E13 Heir to the Demon</t>
  </si>
  <si>
    <t>Arrow S02E14 Time of Death</t>
  </si>
  <si>
    <t>Arrow S02E15 The Promise</t>
  </si>
  <si>
    <t>Arrow S02E16 Suicide Squad</t>
  </si>
  <si>
    <t>Arrow S02E17 Birds of Prey</t>
  </si>
  <si>
    <t>Arrow S02E18 Deathstroke</t>
  </si>
  <si>
    <t>Arrow S02E19 The Man Under the Hood</t>
  </si>
  <si>
    <t>Arrow S02E20 Seeing Red</t>
  </si>
  <si>
    <t>Arrow S02E21 City of Blood</t>
  </si>
  <si>
    <t>Arrow S02E22 Streets of Fire</t>
  </si>
  <si>
    <t>Arrow S02E23 Unthinkable</t>
  </si>
  <si>
    <t>The Flash S01E01 Pilot</t>
  </si>
  <si>
    <t>Arrow S03E01 The Calm</t>
  </si>
  <si>
    <t>The Flash S01E02 Fastest Man Alive</t>
  </si>
  <si>
    <t>Arrow S03E02 Sara</t>
  </si>
  <si>
    <t>The Flash S01E03 Things You Can't Outrun</t>
  </si>
  <si>
    <t>Arrow S03E03 Corto Maltese</t>
  </si>
  <si>
    <t>Constantine S01E01 Non Est Asylum</t>
  </si>
  <si>
    <t>The Flash S01E04 Going Rogue</t>
  </si>
  <si>
    <t>Arrow S03E04 The Magician</t>
  </si>
  <si>
    <t>Constantine S01E02 The Darkness Beneath</t>
  </si>
  <si>
    <t>Arrow S03E05 The Secret Origin of Felicity Smoak</t>
  </si>
  <si>
    <t>Constantine S01E03 The Devil's Vinyl</t>
  </si>
  <si>
    <t>The Flash S01E05 Plastique</t>
  </si>
  <si>
    <t>Arrow S03E06 Guilty</t>
  </si>
  <si>
    <t>Constantine S01E04 A Feast of Friends</t>
  </si>
  <si>
    <t>The Flash S01E06 The Flash is Born</t>
  </si>
  <si>
    <t>Arrow S03E07 Draw Back Your Bow</t>
  </si>
  <si>
    <t>Constantine S01E05 Danse Vaudou</t>
  </si>
  <si>
    <t>The Flash S01E07 Power Outage</t>
  </si>
  <si>
    <t>Constantine S01E06 Rage of Caliban</t>
  </si>
  <si>
    <t>The Flash S01E08 Flash vs. Arrow</t>
  </si>
  <si>
    <t>Arrow S03E08 The Brave and the Bold</t>
  </si>
  <si>
    <t>Constantine S01E07 Blessed Are the Damned</t>
  </si>
  <si>
    <t>The Flash S01E09 The Man in the Yellow Suit</t>
  </si>
  <si>
    <t>Arrow S03E09 The Climb</t>
  </si>
  <si>
    <t>Constantine S01E08 The Saint of Last Resorts</t>
  </si>
  <si>
    <t>Constantine S01E09 The Saint of Last Resorts: Part 2</t>
  </si>
  <si>
    <t>The Flash S01E10 Revenge of the Rogues</t>
  </si>
  <si>
    <t>Arrow S03E10 Left Behind</t>
  </si>
  <si>
    <t>Constantine S01E10 Quid Pro Quo</t>
  </si>
  <si>
    <t>The Flash S01E11 The Sound and the Fury</t>
  </si>
  <si>
    <t>Arrow S03E11 Midnight City</t>
  </si>
  <si>
    <t>Constantine S01E11 A Whole World Out There</t>
  </si>
  <si>
    <t>The Flash S01E12 Crazy for You</t>
  </si>
  <si>
    <t>Arrow S03E12 Uprising</t>
  </si>
  <si>
    <t>Constantine S01E12 Angels and Ministers of Grace</t>
  </si>
  <si>
    <t>The Flash S01E13 The Nuclear Man</t>
  </si>
  <si>
    <t>Arrow S03E13 Canaries</t>
  </si>
  <si>
    <t>Constantine S01E13 Waiting for the Man</t>
  </si>
  <si>
    <t>The Flash S01E14 Fallout</t>
  </si>
  <si>
    <t>Arrow S03E14 The Return</t>
  </si>
  <si>
    <t>Arrow S03E15 Nanda Parbat</t>
  </si>
  <si>
    <t>The Flash S01E15 Out of Time</t>
  </si>
  <si>
    <t>Arrow S03E16 The Offer</t>
  </si>
  <si>
    <t>The Flash S01E16 Rogue Time</t>
  </si>
  <si>
    <t>Arrow S03E17 Suicidal Tendencies</t>
  </si>
  <si>
    <t>The Flash S01E17 Tricksters</t>
  </si>
  <si>
    <t>Arrow S03E18 Public Enemy</t>
  </si>
  <si>
    <t>The Flash S01E18 All Star Team Up</t>
  </si>
  <si>
    <t>Arrow S03E19 Broken Arrow</t>
  </si>
  <si>
    <t>The Flash S01E19 Who is Harrison Wells?</t>
  </si>
  <si>
    <t>Arrow S03E20 The Fallen</t>
  </si>
  <si>
    <t>The Flash S01E20 The Trap</t>
  </si>
  <si>
    <t>Arrow S03E21 Al Sah-him</t>
  </si>
  <si>
    <t>The Flash S01E21 Grodd Lives</t>
  </si>
  <si>
    <t>Arrow S03E22 This Is Your Sword</t>
  </si>
  <si>
    <t>The Flash S01E22 Rogue Air</t>
  </si>
  <si>
    <t>Arrow S03E23 My Name Is Oliver Queen</t>
  </si>
  <si>
    <t>The Flash S01E23 Fast Enough</t>
  </si>
  <si>
    <t>Vixen S01E01 Episode 1</t>
  </si>
  <si>
    <t>Vixen S01E02 Episode 2</t>
  </si>
  <si>
    <t>Vixen S01E03 Episode 3</t>
  </si>
  <si>
    <t>Vixen S01E04 Episode 4</t>
  </si>
  <si>
    <t>Vixen S01E05 Episode 5</t>
  </si>
  <si>
    <t>Vixen S01E06 Episode 6</t>
  </si>
  <si>
    <t>The Flash S02E01 The Man Who Saved Central City</t>
  </si>
  <si>
    <t>Arrow S04E01 Green Arrow</t>
  </si>
  <si>
    <t>The Flash S02E02 Flash of Two Worlds</t>
  </si>
  <si>
    <t>Arrow S04E02 The Candidate</t>
  </si>
  <si>
    <t>The Flash S02E03 Family of Rogues</t>
  </si>
  <si>
    <t>Arrow S04E03 Restoration</t>
  </si>
  <si>
    <t>Supergirl S01E01 Pilot</t>
  </si>
  <si>
    <t>The Flash S02E04 The Fury of Firestorm</t>
  </si>
  <si>
    <t>Arrow S04E04 Beyond Redemption</t>
  </si>
  <si>
    <t>Supergirl S01E02 Stronger Together</t>
  </si>
  <si>
    <t>The Flash S02E05 The Darkness and the Light</t>
  </si>
  <si>
    <t>Arrow S04E05 Haunted</t>
  </si>
  <si>
    <t>Supergirl S01E03 Fight or Flight</t>
  </si>
  <si>
    <t>The Flash S02E06 Enter Zoom</t>
  </si>
  <si>
    <t>Arrow S04E06 Lost Souls</t>
  </si>
  <si>
    <t>Supergirl S01E04 Livewire</t>
  </si>
  <si>
    <t>The Flash S02E07 Gorilla Warfare</t>
  </si>
  <si>
    <t>Arrow S04E07 Brotherhood</t>
  </si>
  <si>
    <t>Supergirl S01E05 How Does She Do It?</t>
  </si>
  <si>
    <t>Supergirl S01E06 Red Faced</t>
  </si>
  <si>
    <t>The Flash S02E08 Legends of Today</t>
  </si>
  <si>
    <t>Arrow S04E08 Legends of Yesterday</t>
  </si>
  <si>
    <t>Supergirl S01E07 Human For a Day</t>
  </si>
  <si>
    <t>The Flash S02E09 Running to Stand Still</t>
  </si>
  <si>
    <t>Arrow S04E09 Dark Waters</t>
  </si>
  <si>
    <t>Supergirl S01E08 Hostile Takeover</t>
  </si>
  <si>
    <t>Supergirl S01E09 Blood Bonds</t>
  </si>
  <si>
    <t>Supergirl S01E10 Childish Things</t>
  </si>
  <si>
    <t>The Flash S02E10 Potential Energy</t>
  </si>
  <si>
    <t>Arrow S04E10 Blood Debts</t>
  </si>
  <si>
    <t>DC's Legends of Tomorrow S01E01 Pilot, Part 1</t>
  </si>
  <si>
    <t>Supergirl S01E11 Strange Visitor From Another Planet</t>
  </si>
  <si>
    <t>The Flash S02E11 The Reverse-Flash Returns</t>
  </si>
  <si>
    <t>Arrow S04E11 A.W.O.L.</t>
  </si>
  <si>
    <t>DC's Legends of Tomorrow S01E02 Pilot, Part 2</t>
  </si>
  <si>
    <t>Supergirl S01E12 Bizarro</t>
  </si>
  <si>
    <t>The Flash S02E12 Fast Lane</t>
  </si>
  <si>
    <t>Arrow S04E12 Unchained</t>
  </si>
  <si>
    <t>DC's Legends of Tomorrow S01E03 Blood Ties</t>
  </si>
  <si>
    <t>Supergirl S01E13 For the Girl Who Has Everything</t>
  </si>
  <si>
    <t>The Flash S02E13 Welcome to Earth-2</t>
  </si>
  <si>
    <t>Arrow S04E13 Sins of the Father</t>
  </si>
  <si>
    <t>DC's Legends of Tomorrow S01E04 White Knights</t>
  </si>
  <si>
    <t>The Flash S02E14 Escape from Earth-2</t>
  </si>
  <si>
    <t>Arrow S04E14 Code of Silence</t>
  </si>
  <si>
    <t>DC's Legends of Tomorrow S01E05 Fail-Safe</t>
  </si>
  <si>
    <t>Supergirl S01E14 Truth, Justice and the American Way</t>
  </si>
  <si>
    <t>The Flash S02E15 King Shark</t>
  </si>
  <si>
    <t>Arrow S04E15 Taken</t>
  </si>
  <si>
    <t>DC's Legends of Tomorrow S01E06 Star City 2046</t>
  </si>
  <si>
    <t>Supergirl S01E15 Solitude</t>
  </si>
  <si>
    <t>DC's Legends of Tomorrow S01E07 Marooned</t>
  </si>
  <si>
    <t>DC's Legends of Tomorrow S01E08 Night of the Hawk</t>
  </si>
  <si>
    <t>Supergirl S01E16 Falling</t>
  </si>
  <si>
    <t>Supergirl S01E17 Manhunter</t>
  </si>
  <si>
    <t>The Flash S02E16 Trajectory</t>
  </si>
  <si>
    <t>Arrow S04E16 Broken Hearts</t>
  </si>
  <si>
    <t>Supergirl S01E18 Worlds Finest</t>
  </si>
  <si>
    <t>The Flash S02E17 Flash Back</t>
  </si>
  <si>
    <t>Arrow S04E17 Beacon of Hope</t>
  </si>
  <si>
    <t>DC's Legends of Tomorrow S01E09 Left Behind</t>
  </si>
  <si>
    <t>Arrow S04E18 Eleven-Fifty-Nine</t>
  </si>
  <si>
    <t>DC's Legends of Tomorrow S01E10 Progeny</t>
  </si>
  <si>
    <t>Supergirl S01E19 Myriad</t>
  </si>
  <si>
    <t>DC's Legends of Tomorrow S01E11 The Magnificent Eight</t>
  </si>
  <si>
    <t>Supergirl S01E20 Better Angels</t>
  </si>
  <si>
    <t>The Flash S02E18 Versus Zoom</t>
  </si>
  <si>
    <t>DC's Legends of Tomorrow S01E12 Last Refuge</t>
  </si>
  <si>
    <t>The Flash S02E19 Back to Normal</t>
  </si>
  <si>
    <t>Arrow S04E19 Canary Cry</t>
  </si>
  <si>
    <t>DC's Legends of Tomorrow S01E13 Leviathan</t>
  </si>
  <si>
    <t>The Flash S02E20 Rupture</t>
  </si>
  <si>
    <t>Arrow S04E20 Genesis</t>
  </si>
  <si>
    <t>DC's Legends of Tomorrow S01E14 River of Time</t>
  </si>
  <si>
    <t>The Flash S02E21 The Runaway Dinosaur</t>
  </si>
  <si>
    <t>Arrow S04E21 Monument Point</t>
  </si>
  <si>
    <t>DC's Legends of Tomorrow S01E15 Destiny</t>
  </si>
  <si>
    <t>The Flash S02E22 Invincible</t>
  </si>
  <si>
    <t>Arrow S04E22 Lost in the Flood</t>
  </si>
  <si>
    <t>DC's Legends of Tomorrow S01E16 Legendary</t>
  </si>
  <si>
    <t>The Flash S02E23 The Race of His Life</t>
  </si>
  <si>
    <t>Arrow S04E23 Schism</t>
  </si>
  <si>
    <t>The Flash S03E01 Flashpoint</t>
  </si>
  <si>
    <t>Arrow S05E01 Legacy</t>
  </si>
  <si>
    <t>Supergirl S02E01 The Adventures of Supergirl</t>
  </si>
  <si>
    <t>The Flash S03E02 Paradox</t>
  </si>
  <si>
    <t>Arrow S05E02 The Recruits</t>
  </si>
  <si>
    <t>DC's Legends of Tomorrow S02E01 Out of Time</t>
  </si>
  <si>
    <t>Vixen S02E01 Episode 1</t>
  </si>
  <si>
    <t>Supergirl S02E02 The Last Children of Krypton</t>
  </si>
  <si>
    <t>The Flash S03E03 Magenta</t>
  </si>
  <si>
    <t>Arrow S05E03 A Matter of Trust</t>
  </si>
  <si>
    <t>DC's Legends of Tomorrow S02E02 The Justice Society of America</t>
  </si>
  <si>
    <t>Vixen S02E02 Episode 2</t>
  </si>
  <si>
    <t>Supergirl S02E03 Welcome to Earth</t>
  </si>
  <si>
    <t>The Flash S03E04 The New Rogues</t>
  </si>
  <si>
    <t>Arrow S05E04 Penance</t>
  </si>
  <si>
    <t>DC's Legends of Tomorrow S02E03 Shogun</t>
  </si>
  <si>
    <t>Vixen S02E03 Episode 3</t>
  </si>
  <si>
    <t>Supergirl S02E04 Survivors</t>
  </si>
  <si>
    <t>The Flash S03E05 Monster</t>
  </si>
  <si>
    <t>Arrow S05E05 Human Target</t>
  </si>
  <si>
    <t>DC's Legends of Tomorrow S02E04 Abominations</t>
  </si>
  <si>
    <t>Vixen S02E04 Episode 4</t>
  </si>
  <si>
    <t>Supergirl S02E05 Crossfire</t>
  </si>
  <si>
    <t>Arrow S05E06 So It Begins</t>
  </si>
  <si>
    <t>DC's Legends of Tomorrow S02E05 Compromised</t>
  </si>
  <si>
    <t>Vixen S02E05 Episode 5</t>
  </si>
  <si>
    <t>Supergirl S02E06 Changing</t>
  </si>
  <si>
    <t>The Flash S03E06 Shade</t>
  </si>
  <si>
    <t>Arrow S05E07 Vigilante</t>
  </si>
  <si>
    <t>DC's Legends of Tomorrow S02E06 Outlaw Country</t>
  </si>
  <si>
    <t>Vixen S02E06 Episode 6</t>
  </si>
  <si>
    <t>Supergirl S02E07 The Darkest Place</t>
  </si>
  <si>
    <t>The Flash S03E07 Killer Frost</t>
  </si>
  <si>
    <t>Supergirl S02E08 Medusa</t>
  </si>
  <si>
    <t>The Flash S03E08 Invasion!</t>
  </si>
  <si>
    <t>Arrow S05E08 Invasion!</t>
  </si>
  <si>
    <t>DC's Legends of Tomorrow S02E07 Invasion!</t>
  </si>
  <si>
    <t>The Flash S03E09 The Present</t>
  </si>
  <si>
    <t>Arrow S05E09 What We Leave Behind</t>
  </si>
  <si>
    <t>DC's Legends of Tomorrow S02E08 The Chicago Way</t>
  </si>
  <si>
    <t>Supergirl S02E09 Supergirl Lives</t>
  </si>
  <si>
    <t>The Flash S03E10 Borrowing Problems from the Future</t>
  </si>
  <si>
    <t>DC's Legends of Tomorrow S02E09 Raiders of the Lost Art</t>
  </si>
  <si>
    <t>Arrow S05E10 Who Are You?</t>
  </si>
  <si>
    <t>Supergirl S02E10 We Can Be Heroes</t>
  </si>
  <si>
    <t>The Flash S03E11 Dead or Alive</t>
  </si>
  <si>
    <t>DC's Legends of Tomorrow S02E10 The Legion of Doom</t>
  </si>
  <si>
    <t>Arrow S05E11 Second Chances</t>
  </si>
  <si>
    <t>Supergirl S02E11 The Martian Chronicles</t>
  </si>
  <si>
    <t>The Flash S03E12 Untouchable</t>
  </si>
  <si>
    <t>DC's Legends of Tomorrow S02E11 Turncoat</t>
  </si>
  <si>
    <t>Arrow S05E12 Bratva</t>
  </si>
  <si>
    <t>Supergirl S02E12 Luthors</t>
  </si>
  <si>
    <t>Arrow S05E13 Spectre of the Gun</t>
  </si>
  <si>
    <t>Supergirl S02E13 Mr. &amp; Mrs. Mxyzptlk</t>
  </si>
  <si>
    <t>The Flash S03E13 Attack on Gorilla City</t>
  </si>
  <si>
    <t>DC's Legends of Tomorrow S02E12 Camelot/3000</t>
  </si>
  <si>
    <t>Arrow S05E14 The Sin-Eater</t>
  </si>
  <si>
    <t>Supergirl S02E14 Homecoming</t>
  </si>
  <si>
    <t>The Flash S03E14 Attack on Central City</t>
  </si>
  <si>
    <t>Arrow S05E15 Fighting Fire With Fire</t>
  </si>
  <si>
    <t>Supergirl S02E15 Exodus</t>
  </si>
  <si>
    <t>The Flash S03E15 The Wrath of Savitar</t>
  </si>
  <si>
    <t>DC's Legends of Tomorrow S02E13 Land of the Lost</t>
  </si>
  <si>
    <t>The Flash S03E16 Into the Speed Force</t>
  </si>
  <si>
    <t>DC's Legends of Tomorrow S02E14 Moonshot</t>
  </si>
  <si>
    <t>Arrow S05E16 Checkmate</t>
  </si>
  <si>
    <t>Supergirl S02E16 Star-Crossed</t>
  </si>
  <si>
    <t>The Flash S03E17 Duet</t>
  </si>
  <si>
    <t>DC's Legends of Tomorrow S02E15 Fellowship of the Spear</t>
  </si>
  <si>
    <t>Arrow S05E17 Kapiushon</t>
  </si>
  <si>
    <t>Supergirl S02E17 Distant Sun</t>
  </si>
  <si>
    <t>The Flash S03E18 Abra Kadabra</t>
  </si>
  <si>
    <t>DC's Legends of Tomorrow S02E16 Doomworld</t>
  </si>
  <si>
    <t>Arrow S05E18 Disbanded</t>
  </si>
  <si>
    <t>DC's Legends of Tomorrow S02E17 Aruba</t>
  </si>
  <si>
    <t>Supergirl S02E18 Ace Reporter</t>
  </si>
  <si>
    <t>The Flash S03E19 The Once and Future Flash</t>
  </si>
  <si>
    <t>Arrow S05E19 Dangerous Liaisons</t>
  </si>
  <si>
    <t>Supergirl S02E19 Alex</t>
  </si>
  <si>
    <t>The Flash S03E20 I Know Who You Are</t>
  </si>
  <si>
    <t>Arrow S05E20 Underneath</t>
  </si>
  <si>
    <t>Supergirl S02E20 City of Lost Children</t>
  </si>
  <si>
    <t>The Flash S03E21 Cause and Effect</t>
  </si>
  <si>
    <t>Arrow S05E21 Honor Thy Fathers</t>
  </si>
  <si>
    <t>Supergirl S02E21 Resist</t>
  </si>
  <si>
    <t>The Flash S03E22 Infantino Street</t>
  </si>
  <si>
    <t>Arrow S05E22 Missing</t>
  </si>
  <si>
    <t>Supergirl S02E22 Nevertheless, She Persisted</t>
  </si>
  <si>
    <t>The Flash S03E23 Finish Line</t>
  </si>
  <si>
    <t>Arrow S05E23 Lian Yu</t>
  </si>
  <si>
    <t>Supergirl S03E01 Girl of Steel</t>
  </si>
  <si>
    <t>The Flash S04E01 The Flash Reborn</t>
  </si>
  <si>
    <t>DC's Legends of Tomorrow S03E01 Aruba-Con</t>
  </si>
  <si>
    <t>Arrow S06E01 Fallout</t>
  </si>
  <si>
    <t>Supergirl S03E02 Triggers</t>
  </si>
  <si>
    <t>The Flash S04E02 Mixed Signals</t>
  </si>
  <si>
    <t>DC's Legends of Tomorrow S03E02 Freakshow</t>
  </si>
  <si>
    <t>Arrow S06E02 Tribute</t>
  </si>
  <si>
    <t>Supergirl S03E03 Far From the Tree</t>
  </si>
  <si>
    <t>The Flash S04E03 Luck Be a Lady</t>
  </si>
  <si>
    <t>DC's Legends of Tomorrow S03E03 Zari</t>
  </si>
  <si>
    <t>Arrow S06E03 Next of Kin</t>
  </si>
  <si>
    <t>Supergirl S03E04 The Faithful</t>
  </si>
  <si>
    <t>The Flash S04E04 Elongated Journey Into Night</t>
  </si>
  <si>
    <t>DC's Legends of Tomorrow S03E04 Phone Home</t>
  </si>
  <si>
    <t>Arrow S06E04 Reversal</t>
  </si>
  <si>
    <t>Supergirl S03E05 Damage</t>
  </si>
  <si>
    <t>The Flash S04E05 Girls Night Out</t>
  </si>
  <si>
    <t>DC's Legends of Tomorrow S03E05 Return of the Mack</t>
  </si>
  <si>
    <t>Arrow S06E05 Deathstroke Returns</t>
  </si>
  <si>
    <t>Supergirl S03E06 Midvale</t>
  </si>
  <si>
    <t>The Flash S04E06 When Harry Met Harry...</t>
  </si>
  <si>
    <t>DC's Legends of Tomorrow S03E06 Helen Hunt</t>
  </si>
  <si>
    <t>Arrow S06E06 Promises Kept</t>
  </si>
  <si>
    <t>Supergirl S03E07 Wake Up</t>
  </si>
  <si>
    <t>The Flash S04E07 Therefore I Am</t>
  </si>
  <si>
    <t>DC's Legends of Tomorrow S03E07 Welcome to the Jungle</t>
  </si>
  <si>
    <t>Arrow S06E07 Thanksgiving</t>
  </si>
  <si>
    <t>Supergirl S03E08 Crisis on Earth-X, Part 1</t>
  </si>
  <si>
    <t>Arrow S06E08 Crisis on Earth-X, Part 2</t>
  </si>
  <si>
    <t>The Flash S04E08 Crisis on Earth-X, Part 3</t>
  </si>
  <si>
    <t>DC's Legends of Tomorrow S03E08 Crisis on Earth-X, Part 4</t>
  </si>
  <si>
    <t>Supergirl S03E09 Reign</t>
  </si>
  <si>
    <t>The Flash S04E09 Don't Run</t>
  </si>
  <si>
    <t>DC's Legends of Tomorrow S03E09 Beebo the God of War</t>
  </si>
  <si>
    <t>Arrow S06E09 Irreconcilable Differences</t>
  </si>
  <si>
    <t>Freedom Fighters: The Ray S01E01 Episode One</t>
  </si>
  <si>
    <t>Freedom Fighters: The Ray S01E02 Episode Two</t>
  </si>
  <si>
    <t>Freedom Fighters: The Ray S01E03 Episode Three</t>
  </si>
  <si>
    <t>Freedom Fighters: The Ray S01E04 Episode Four</t>
  </si>
  <si>
    <t>Freedom Fighters: The Ray S01E05 Episode Five</t>
  </si>
  <si>
    <t>Freedom Fighters: The Ray S01E06 Episode Six</t>
  </si>
  <si>
    <t>Supergirl S03E10 Legion of Super-Heroes</t>
  </si>
  <si>
    <t>The Flash S04E10 The Trial of The Flash</t>
  </si>
  <si>
    <t>Black Lightning S01E01 The Resurrection</t>
  </si>
  <si>
    <t>Arrow S06E10 Divided</t>
  </si>
  <si>
    <t>Supergirl S03E11 Fort Rozz</t>
  </si>
  <si>
    <t>The Flash S04E11 The Elongated Knight Rises</t>
  </si>
  <si>
    <t>Black Lightning S01E02 Lawanda: The Book of Hope</t>
  </si>
  <si>
    <t>Arrow S06E11 We Fall</t>
  </si>
  <si>
    <t>Supergirl S03E12 For Good</t>
  </si>
  <si>
    <t>The Flash S04E12 Honey, I Shrunk Team Flash</t>
  </si>
  <si>
    <t>Black Lightning S01E03 Lawanda: The Book of Burial</t>
  </si>
  <si>
    <t>Arrow S06E12 All for Nothing</t>
  </si>
  <si>
    <t>Supergirl S03E13 Both Sides Now</t>
  </si>
  <si>
    <t>The Flash S04E13 True Colors</t>
  </si>
  <si>
    <t>Black Lightning S01E04 Black Jesus</t>
  </si>
  <si>
    <t>Arrow S06E13 The Devil's Greatest Trick</t>
  </si>
  <si>
    <t>DC's Legends of Tomorrow S03E10 Daddy Darhkest</t>
  </si>
  <si>
    <t>Black Lightning S01E05 And Then the Devil Brought the Plague: The Book of Green Light</t>
  </si>
  <si>
    <t>DC's Legends of Tomorrow S03E11 Here I Go Again</t>
  </si>
  <si>
    <t>DC's Legends of Tomorrow S03E12 The Curse of the Earth Totem</t>
  </si>
  <si>
    <t>The Flash S04E14 Subject 9</t>
  </si>
  <si>
    <t>Black Lightning S01E06 Three Sevens: The Book of Thunder</t>
  </si>
  <si>
    <t>Arrow S06E14 Collision Course</t>
  </si>
  <si>
    <t>DC's Legends of Tomorrow S03E13 No Country for Old Dads</t>
  </si>
  <si>
    <t>The Flash S04E15 Enter Flashtime</t>
  </si>
  <si>
    <t>Black Lightning S01E07 Equinox: The Book of Fate</t>
  </si>
  <si>
    <t>Arrow S06E15 Doppelganger</t>
  </si>
  <si>
    <t>DC's Legends of Tomorrow S03E14 Amazing Grace</t>
  </si>
  <si>
    <t>The Flash S04E16 Run, Iris, Run</t>
  </si>
  <si>
    <t>Black Lightning S01E08 The Book of Revelations</t>
  </si>
  <si>
    <t>DC's Legends of Tomorrow S03E15 Necromancing the Stone</t>
  </si>
  <si>
    <t>Black Lightning S01E09 The Book of Little Black Lies</t>
  </si>
  <si>
    <t>DC's Legends of Tomorrow S03E16 I, Ava</t>
  </si>
  <si>
    <t>Black Lightning S01E10 Sins of the Father: The Book of Redemption</t>
  </si>
  <si>
    <t>Arrow S06E16 The Thanatos Guild</t>
  </si>
  <si>
    <t>DC's Legends of Tomorrow S03E17 Guest Starring John Noble</t>
  </si>
  <si>
    <t>Black Lightning S01E11 Black Jesus: The Book of Crucifixion</t>
  </si>
  <si>
    <t>Arrow S06E17 Brothers in Arms</t>
  </si>
  <si>
    <t>DC's Legends of Tomorrow S03E18 The Good, The Bad and The Cuddly</t>
  </si>
  <si>
    <t>The Flash S04E17 Null and Annoyed</t>
  </si>
  <si>
    <t>Black Lightning S01E12 The Resurrection and the Light: The Book of Pain</t>
  </si>
  <si>
    <t>Arrow S06E18 Fundamentals</t>
  </si>
  <si>
    <t>Supergirl S03E14 Schott Through the Heart</t>
  </si>
  <si>
    <t>The Flash S04E18 Lose Yourself</t>
  </si>
  <si>
    <t>Black Lightning S01E13 Shadow of Death: The Book of War</t>
  </si>
  <si>
    <t>Arrow S06E19 The Dragon</t>
  </si>
  <si>
    <t>Supergirl S03E15 In Search of Lost Time</t>
  </si>
  <si>
    <t>The Flash S04E19 Fury Rogue</t>
  </si>
  <si>
    <t>Arrow S06E20 Shifting Allegiances</t>
  </si>
  <si>
    <t>Supergirl S03E16 Of Two Minds</t>
  </si>
  <si>
    <t>The Flash S04E20 Therefore She Is</t>
  </si>
  <si>
    <t>Arrow S06E21 Docket No. 11-19-41-73</t>
  </si>
  <si>
    <t>Supergirl S03E17 Trinity</t>
  </si>
  <si>
    <t>The Flash S04E21 Harry and the Harrisons</t>
  </si>
  <si>
    <t>Arrow S06E22 The Ties That Bind</t>
  </si>
  <si>
    <t>Supergirl S03E18 Shelter from the Storm</t>
  </si>
  <si>
    <t>The Flash S04E22 Think Fast</t>
  </si>
  <si>
    <t>Arrow S06E23 Life Sentence</t>
  </si>
  <si>
    <t>Supergirl S03E19 The Fanatical</t>
  </si>
  <si>
    <t>The Flash S04E23 We Are The Flash</t>
  </si>
  <si>
    <t>Supergirl S03E20 Dark Side of the Moon</t>
  </si>
  <si>
    <t>Supergirl S03E21 Not Kansas</t>
  </si>
  <si>
    <t>Supergirl S03E22 Make it Reign</t>
  </si>
  <si>
    <t>Supergirl S03E23 Battles Lost and Won</t>
  </si>
  <si>
    <t>Freedom Fighters: The Ray S02E01 Episode One</t>
  </si>
  <si>
    <t>Freedom Fighters: The Ray S02E02 Episode Two</t>
  </si>
  <si>
    <t>Freedom Fighters: The Ray S02E03 Episode Three</t>
  </si>
  <si>
    <t>Freedom Fighters: The Ray S02E04 Episode Four</t>
  </si>
  <si>
    <t>Freedom Fighters: The Ray S02E05 Episode Five</t>
  </si>
  <si>
    <t>Freedom Fighters: The Ray S02E06 Episode Six</t>
  </si>
  <si>
    <t>The Flash S05E01 Nora</t>
  </si>
  <si>
    <t>Black Lightning S02E01 The Book of Consequences: Chapter One: Rise of the Green Light Babies</t>
  </si>
  <si>
    <t>Supergirl S04E01 American Alien</t>
  </si>
  <si>
    <t>Arrow S07E01 Inmate 4587</t>
  </si>
  <si>
    <t>The Flash S05E02 Blocked</t>
  </si>
  <si>
    <t>Black Lightning S02E02 The Book of Consequences: Chapter Two: Black Jesus Blues</t>
  </si>
  <si>
    <t>Supergirl S04E02 Fallout</t>
  </si>
  <si>
    <t>Arrow S07E02 The Longbow Hunters</t>
  </si>
  <si>
    <t>DC's Legends of Tomorrow S04E01 The Virgin Gary</t>
  </si>
  <si>
    <t>The Flash S05E03 The Death of Vibe</t>
  </si>
  <si>
    <t>Black Lightning S02E03 The Book of Consequences: Chapter Three: Master Lowry</t>
  </si>
  <si>
    <t>Supergirl S04E03 Man of Steel</t>
  </si>
  <si>
    <t>Arrow S07E03 Crossing Lines</t>
  </si>
  <si>
    <t>DC's Legends of Tomorrow S04E02 Witch Hunt</t>
  </si>
  <si>
    <t>The Flash S05E04 News Flash</t>
  </si>
  <si>
    <t>Black Lightning S02E04 The Book of Consequences: Chapter Four: Translucent Freak</t>
  </si>
  <si>
    <t>Supergirl S04E04 Ahimsa</t>
  </si>
  <si>
    <t>Arrow S07E04 Level Two</t>
  </si>
  <si>
    <t>DC's Legends of Tomorrow S04E03 Dancing Queen</t>
  </si>
  <si>
    <t>Supergirl S04E05 Parasite Lost</t>
  </si>
  <si>
    <t>Arrow S07E05 The Demon</t>
  </si>
  <si>
    <t>DC's Legends of Tomorrow S04E04 Wet Hot American Bummer</t>
  </si>
  <si>
    <t>The Flash S05E05 All Doll'd Up</t>
  </si>
  <si>
    <t>Black Lightning S02E05 The Book of Blood: Chapter One: Requiem</t>
  </si>
  <si>
    <t>Supergirl S04E06 Call to Action</t>
  </si>
  <si>
    <t>Arrow S07E06 Due Process</t>
  </si>
  <si>
    <t>DC's Legends of Tomorrow S04E05 Tagumo Attacks!!!</t>
  </si>
  <si>
    <t>The Flash S05E06 The Icicle Cometh</t>
  </si>
  <si>
    <t>Black Lightning S02E06 The Book of Blood: Chapter Two: The Perdi</t>
  </si>
  <si>
    <t>Supergirl S04E07 Rather the Fallen Angel</t>
  </si>
  <si>
    <t>Arrow S07E07 The Slabside Redemption</t>
  </si>
  <si>
    <t>DC's Legends of Tomorrow S04E06 Tender is the Nate</t>
  </si>
  <si>
    <t>The Flash S05E07 O Come, All Ye Thankful</t>
  </si>
  <si>
    <t>Black Lightning S02E07 The Book of Blood: Chapter Three: The Sange</t>
  </si>
  <si>
    <t>Supergirl S04E08 Bunker Hill</t>
  </si>
  <si>
    <t>Arrow S07E08 Unmasked</t>
  </si>
  <si>
    <t>DC's Legends of Tomorrow S04E07 Hell No, Dolly!</t>
  </si>
  <si>
    <t>The Flash S05E08 What's Past is Prologue</t>
  </si>
  <si>
    <t>Black Lightning S02E08 The Book of Rebellion: Chapter One: Exodus</t>
  </si>
  <si>
    <t>The Flash S05E09 Elseworlds, Part 1</t>
  </si>
  <si>
    <t>Arrow S07E09 Elseworlds, Part 2</t>
  </si>
  <si>
    <t>DC's Legends of Tomorrow S04E08 Legends of To-Meow-Meow</t>
  </si>
  <si>
    <t>Supergirl S04E09 Elseworlds, Part 3</t>
  </si>
  <si>
    <t>Black Lightning S02E09 The Book of Rebellion: Chapter Two: Gift of the Magi</t>
  </si>
  <si>
    <t>The Flash S05E10 The Flash &amp; The Furious</t>
  </si>
  <si>
    <t>Supergirl S04E10 Suspicious Minds</t>
  </si>
  <si>
    <t>Arrow S07E10 My Name is Emiko Queen</t>
  </si>
  <si>
    <t>Black Lightning S02E10 The Book of Rebellion: Chapter Three: Angelitos Negros</t>
  </si>
  <si>
    <t>The Flash S05E11 Seeing Red</t>
  </si>
  <si>
    <t>Supergirl S04E11 Blood Memory</t>
  </si>
  <si>
    <t>Arrow S07E11 Past Sins</t>
  </si>
  <si>
    <t>Black Lightning S02E11 The Book of Secrets: Chapter One: Prodigal Son</t>
  </si>
  <si>
    <t>The Flash S05E12 Memorabilia</t>
  </si>
  <si>
    <t>Arrow S07E12 Emerald Archer</t>
  </si>
  <si>
    <t>Black Lightning S02E12 The Book of Secrets: Chapter Two: Just and Unjust</t>
  </si>
  <si>
    <t>The Flash S05E13 Goldfaced</t>
  </si>
  <si>
    <t>Arrow S07E13 Star City Slayer</t>
  </si>
  <si>
    <t>Black Lightning S02E13 The Book of Secrets: Chapter Three: Pillar of Fire</t>
  </si>
  <si>
    <t>The Flash S05E14 Cause and XS</t>
  </si>
  <si>
    <t>Supergirl S04E12 Menagerie</t>
  </si>
  <si>
    <t>Supergirl S04E13 What's So Funny About Truth, Justice, and the American Way?</t>
  </si>
  <si>
    <t>Arrow S07E14 Brothers &amp; Sisters</t>
  </si>
  <si>
    <t>Black Lightning S02E14 The Book of Secrets: Chapter Four: Original Sin</t>
  </si>
  <si>
    <t>The Flash S05E15 King Shark vs. Gorilla Grodd</t>
  </si>
  <si>
    <t>Supergirl S04E14 Stand and Deliver</t>
  </si>
  <si>
    <t>Arrow S07E15 Training Day</t>
  </si>
  <si>
    <t>Black Lightning S02E15 The Book of the Apocalypse: Chapter One: The Alpha</t>
  </si>
  <si>
    <t>The Flash S05E16 Failure is an Orphan</t>
  </si>
  <si>
    <t>Supergirl S04E15 O Brother, Where Art Thou?</t>
  </si>
  <si>
    <t>Arrow S07E16 Star City 2040</t>
  </si>
  <si>
    <t>Black Lightning S02E16 The Book of the Apocalypse: Chapter Two: The Omega</t>
  </si>
  <si>
    <t>The Flash S05E17 Time Bomb</t>
  </si>
  <si>
    <t>Supergirl S04E16 The House of L</t>
  </si>
  <si>
    <t>Arrow S07E17 Inheritance</t>
  </si>
  <si>
    <t>Supergirl S04E17 All About Eve</t>
  </si>
  <si>
    <t>DC's Legends of Tomorrow S04E09 Lucha De Apuestas</t>
  </si>
  <si>
    <t>DC's Legends of Tomorrow S04E10 The Getaway</t>
  </si>
  <si>
    <t>DC's Legends of Tomorrow S04E11 Séance and Sensibility</t>
  </si>
  <si>
    <t>Arrow S07E18 Lost Canary</t>
  </si>
  <si>
    <t>The Flash S05E18 Godspeed</t>
  </si>
  <si>
    <t>Supergirl S04E18 Crime and Punishment</t>
  </si>
  <si>
    <t>DC's Legends of Tomorrow S04E12 The Eggplant, The Witch &amp; The Wardrobe</t>
  </si>
  <si>
    <t>Arrow S07E19 Spartan</t>
  </si>
  <si>
    <t>The Flash S05E19 Snow Pack</t>
  </si>
  <si>
    <t>Supergirl S04E19 American Dreamer</t>
  </si>
  <si>
    <t>DC's Legends of Tomorrow S04E13 Egg MacGuffin</t>
  </si>
  <si>
    <t>Arrow S07E20 Confessions</t>
  </si>
  <si>
    <t>The Flash S05E20 Gone Rogue</t>
  </si>
  <si>
    <t>Supergirl S04E20 Will The Real Miss Tessmacher Please Stand Up?</t>
  </si>
  <si>
    <t>DC's Legends of Tomorrow S04E14 Nip/Stuck</t>
  </si>
  <si>
    <t>Arrow S07E21 Living Proof</t>
  </si>
  <si>
    <t>The Flash S05E21 The Girl With The Red Lightning</t>
  </si>
  <si>
    <t>Supergirl S04E21 Red Dawn</t>
  </si>
  <si>
    <t>DC's Legends of Tomorrow S04E15 Terms of Service</t>
  </si>
  <si>
    <t>Arrow S07E22 You Have Saved This City</t>
  </si>
  <si>
    <t>The Flash S05E22 Legacy</t>
  </si>
  <si>
    <t>Supergirl S04E22 The Quest for Peace</t>
  </si>
  <si>
    <t>DC's Legends of Tomorrow S04E16 Hey, World!</t>
  </si>
  <si>
    <t>Batwoman S01E01 Pilot</t>
  </si>
  <si>
    <t>Supergirl S05E01 Event Horizon</t>
  </si>
  <si>
    <t>Black Lightning S03E01 The Book of Occupation: Chapter One: Birth of Blackbird</t>
  </si>
  <si>
    <t>The Flash S06E01 Into the Void</t>
  </si>
  <si>
    <t>Batwoman S01E02 The Rabbit Hole</t>
  </si>
  <si>
    <t>Supergirl S05E02 Stranger Beside Me</t>
  </si>
  <si>
    <t>Black Lightning S03E02 The Book of Occupation: Chapter Two: Maryam's Tasbih</t>
  </si>
  <si>
    <t>The Flash S06E02 A Flash of the Lightning</t>
  </si>
  <si>
    <t>Arrow S08E01 Starling City</t>
  </si>
  <si>
    <t>Batwoman S01E03 Down Down Down</t>
  </si>
  <si>
    <t>Supergirl S05E03 Blurred Lines</t>
  </si>
  <si>
    <t>Black Lightning S03E03 The Book of Occupation: Chapter Three: Agent Odell's Pipe-Dream</t>
  </si>
  <si>
    <t>The Flash S06E03 Dead Man Running</t>
  </si>
  <si>
    <t>Arrow S08E02 Welcome to Hong Kong</t>
  </si>
  <si>
    <t>Batwoman S01E04 Who Are You?</t>
  </si>
  <si>
    <t>Supergirl S05E04 In Plain Sight</t>
  </si>
  <si>
    <t>Black Lightning S03E04 The Book of Occupation: Chapter Four: Lynn's Ouroboros</t>
  </si>
  <si>
    <t>The Flash S06E04 There Will Be Blood</t>
  </si>
  <si>
    <t>Arrow S08E03 Leap of Faith</t>
  </si>
  <si>
    <t>Batwoman S01E05 Mine Is a Long And a Sad Tale</t>
  </si>
  <si>
    <t>Supergirl S05E05 Dangerous Liaisons</t>
  </si>
  <si>
    <t>The Flash S06E05 Kiss Kiss Breach Breach</t>
  </si>
  <si>
    <t>Arrow S08E04 Present Tense</t>
  </si>
  <si>
    <t>Batwoman S01E06 I'll Be Judge, I'll Be Jury</t>
  </si>
  <si>
    <t>Supergirl S05E06 Confidence Women</t>
  </si>
  <si>
    <t>Black Lightning S03E05 The Book of Occupation: Chapter Five: Requiem for Tavon</t>
  </si>
  <si>
    <t>Batwoman S01E07 Tell Me the Truth</t>
  </si>
  <si>
    <t>Supergirl S05E07 Tremors</t>
  </si>
  <si>
    <t>Black Lightning S03E06 The Book of Resistance: Chapter One: Knocking on Heaven's Door</t>
  </si>
  <si>
    <t>The Flash S06E06 License to Elongate</t>
  </si>
  <si>
    <t>Arrow S08E05 Prochnost</t>
  </si>
  <si>
    <t>Black Lightning S03E07 The Book of Resistance: Chapter Two: Henderson's Opus</t>
  </si>
  <si>
    <t>The Flash S06E07 The Last Temptation of Barry Allen, Pt. 1</t>
  </si>
  <si>
    <t>Arrow S08E06 Reset</t>
  </si>
  <si>
    <t>Batwoman S01E08 A Mad Tea-Party</t>
  </si>
  <si>
    <t>Supergirl S05E08 The Wrath of Rama Khan</t>
  </si>
  <si>
    <t>Black Lightning S03E08 The Book of Resistance: Chapter Three: The Battle of Franklin Terrace</t>
  </si>
  <si>
    <t>The Flash S06E08 The Last Temptation of Barry Allen, Pt. 2</t>
  </si>
  <si>
    <t>Arrow S08E07 Purgatory</t>
  </si>
  <si>
    <t>Supergirl S05E09 Crisis on Infinite Earths: Part One</t>
  </si>
  <si>
    <t>Batwoman S01E09 Crisis on Infinite Earths: Part Two</t>
  </si>
  <si>
    <t>Black Lightning S03E09 The Book of Resistance: Chapter Four: Earth Crisis</t>
  </si>
  <si>
    <t>The Flash S06E09 Crisis on Infinite Earths: Part Three</t>
  </si>
  <si>
    <t>Arrow S08E08 Crisis on Infinite Earths: Part Four</t>
  </si>
  <si>
    <t>DC's Legends of Tomorrow S05E0— Crisis on Infinite Earths: Part Five</t>
  </si>
  <si>
    <t>Batwoman S01E10 How Queer Everything Is Today!</t>
  </si>
  <si>
    <t>Supergirl S05E10 The Bottle Episode</t>
  </si>
  <si>
    <t>Black Lightning S03E10 The Book of Markovia: Chapter One: Blessings and Curses Reborn</t>
  </si>
  <si>
    <t>Arrow S08E09 Green Arrow &amp; The Canaries</t>
  </si>
  <si>
    <t>DC's Legends of Tomorrow S05E01 Meet the Legends</t>
  </si>
  <si>
    <t>Batwoman S01E11 An Un-Birthday Present</t>
  </si>
  <si>
    <t>Supergirl S05E11 Back From the Future - Part One</t>
  </si>
  <si>
    <t>Black Lightning S03E11 The Book of Markovia: Chapter Two: Lynn's Addiction</t>
  </si>
  <si>
    <t>Arrow S08E10 Fadeout</t>
  </si>
  <si>
    <t>Black Lightning S03E12 The Book of Markovia: Chapter Three: Motherless ID</t>
  </si>
  <si>
    <t>The Flash S06E10 Marathon</t>
  </si>
  <si>
    <t>DC's Legends of Tomorrow S05E02 Miss Me, Kiss Me, Love Me</t>
  </si>
  <si>
    <t>Black Lightning S03E13 The Book of Markovia: Chapter Four: Grab the Strap</t>
  </si>
  <si>
    <t>The Flash S06E11 Love Is A Battlefield</t>
  </si>
  <si>
    <t>DC's Legends of Tomorrow S05E03 Slay Anything</t>
  </si>
  <si>
    <t>Batwoman S01E12 Take Your Choice</t>
  </si>
  <si>
    <t>Supergirl S05E12 Back From the Future - Part Two</t>
  </si>
  <si>
    <t>The Flash S06E12 A Girl Named Sue</t>
  </si>
  <si>
    <t>DC's Legends of Tomorrow S05E04 A Head of Her Time</t>
  </si>
  <si>
    <t>Batwoman S01E13 Drink Me</t>
  </si>
  <si>
    <t>Supergirl S05E13 It's a Super Life</t>
  </si>
  <si>
    <t>Black Lightning S03E14 The Book of War: Chapter One: Homecoming</t>
  </si>
  <si>
    <t>The Flash S06E13 Grodd Friended Me</t>
  </si>
  <si>
    <t>DC's Legends of Tomorrow S05E05 Mortal Khanbat</t>
  </si>
  <si>
    <t>Black Lightning S03E15 The Book of War: Chapter Two: Freedom Ain't Free</t>
  </si>
  <si>
    <t>Batwoman S01E14 Grinning From Ear to Ear</t>
  </si>
  <si>
    <t>Supergirl S05E14 The Bodyguard</t>
  </si>
  <si>
    <t>Black Lightning S03E16 The Book of War: Chapter Three: Liberation</t>
  </si>
  <si>
    <t>The Flash S06E14 Death of the Speed Force</t>
  </si>
  <si>
    <t>DC's Legends of Tomorrow S05E06 Mr. Parker's Cul-De-Sac</t>
  </si>
  <si>
    <t>Batwoman S01E15 Off With Her Head</t>
  </si>
  <si>
    <t>Supergirl S05E15 Reality Bytes</t>
  </si>
  <si>
    <t>The Flash S06E15 The Exorcism of Nash Wells</t>
  </si>
  <si>
    <t>DC's Legends of Tomorrow S05E07 Romeo V. Juliet: Dawn of Justness</t>
  </si>
  <si>
    <t>Batwoman S01E16 Through the Looking-Glass</t>
  </si>
  <si>
    <t>Supergirl S05E16 Alex in Wonderland</t>
  </si>
  <si>
    <t>The Flash S06E16 So Long and Goodnight</t>
  </si>
  <si>
    <t>DC's Legends of Tomorrow S05E08 Zari, Not Zari</t>
  </si>
  <si>
    <t>Batwoman S01E17 A Narrow Escape</t>
  </si>
  <si>
    <t>The Flash S06E17 Liberation</t>
  </si>
  <si>
    <t>DC's Legends of Tomorrow S05E09 The Great British Fake Off</t>
  </si>
  <si>
    <t>Batwoman S01E18 If You Believe In Me, I'll Believe In You</t>
  </si>
  <si>
    <t>Supergirl S05E17 Deus Lex Machina</t>
  </si>
  <si>
    <t>The Flash S06E18 Pay the Piper</t>
  </si>
  <si>
    <t>DC's Legends of Tomorrow S05E10 Ship Broken</t>
  </si>
  <si>
    <t>Batwoman S01E19 A Secret Kept From All the Rest</t>
  </si>
  <si>
    <t>Supergirl S05E18 The Missing Link</t>
  </si>
  <si>
    <t>The Flash S06E19 Success Is Assured</t>
  </si>
  <si>
    <t>DC's Legends of Tomorrow S05E11 Freaks and Greeks</t>
  </si>
  <si>
    <t>Batwoman S01E20 O, Mouse!</t>
  </si>
  <si>
    <t>Supergirl S05E19 Immortal Kombat</t>
  </si>
  <si>
    <t>Stargirl S01E01 Pilot</t>
  </si>
  <si>
    <t>DC's Legends of Tomorrow S05E12 I Am Legends</t>
  </si>
  <si>
    <t>Stargirl S01E02 S.T.R.I.P.E.</t>
  </si>
  <si>
    <t>DC's Legends of Tomorrow S05E13 The One Where We're Trapped On TV</t>
  </si>
  <si>
    <t>Stargirl S01E03 Icicle</t>
  </si>
  <si>
    <t>DC's Legends of Tomorrow S05E14 Swan Thong</t>
  </si>
  <si>
    <t>Stargirl S01E04 Wildcat</t>
  </si>
  <si>
    <t>Stargirl S01E05 Hourman and Dr. Mid-Nite</t>
  </si>
  <si>
    <t>Stargirl S01E06 The Justice Society</t>
  </si>
  <si>
    <t>Stargirl S01E07 Shiv: Part 1</t>
  </si>
  <si>
    <t>Stargirl S01E08 Shiv: Part 2</t>
  </si>
  <si>
    <t>Stargirl S01E08 Shiv Part Two</t>
  </si>
  <si>
    <t>Stargirl S01E09 Brainwave</t>
  </si>
  <si>
    <t>Stargirl S01E10 Brainwave Jr.</t>
  </si>
  <si>
    <t>Stargirl S01E12 Stars &amp; S.T.R.I.P.E.: Part 1</t>
  </si>
  <si>
    <t>Stargirl S01E13 Stars &amp; S.T.R.I.P.E.: Part 2</t>
  </si>
  <si>
    <t>Batwoman S02E01 Whatever Happened to Kate Kane?</t>
  </si>
  <si>
    <t>Batwoman S02E02 Prior Criminal History</t>
  </si>
  <si>
    <t>Batwoman S02E03 Bat Girl Magic!</t>
  </si>
  <si>
    <t>Black Lightning S04E01 The Book of Reconstruction: Chapter One: Collateral Damage</t>
  </si>
  <si>
    <t>Batwoman S02E04 Fair Skin, Blue Eyes</t>
  </si>
  <si>
    <t>Black Lightning S04E02 The Book of Reconstruction: Chapter Two: Unacceptable Losses</t>
  </si>
  <si>
    <t>Batwoman S02E05 Gore on Canvas</t>
  </si>
  <si>
    <t>Black Lightning S04E03 The Book of Reconstruction: Chapter Three: Despite All My Rage...</t>
  </si>
  <si>
    <t>Superman &amp; Lois S01E01 Pilot</t>
  </si>
  <si>
    <t>Batwoman S02E06 Do Not Resuscitate</t>
  </si>
  <si>
    <t>Black Lightning S04E04 The Book of Reconstruction: Chapter Four: A Light in the Darkness</t>
  </si>
  <si>
    <t>The Flash S07E01 All's Wells That Ends Wells</t>
  </si>
  <si>
    <t>Superman &amp; Lois S01E02 Heritage</t>
  </si>
  <si>
    <t>Black Lightning S04E05 The Book of Ruin: Chapter One: Picking Up the Pieces</t>
  </si>
  <si>
    <t>The Flash S07E02 The Speed of Thought</t>
  </si>
  <si>
    <t>Superman &amp; Lois S01E03 The Perks of Not Being a Wallflower</t>
  </si>
  <si>
    <t>Batwoman S02E07 It's Best You Stop Digging</t>
  </si>
  <si>
    <t>Black Lightning S04E06 The Book of Ruin: Chapter Two: Theseus's Ship</t>
  </si>
  <si>
    <t>The Flash S07E03 Mother</t>
  </si>
  <si>
    <t>Superman &amp; Lois S01E04 Haywire</t>
  </si>
  <si>
    <t>Batwoman S02E08 Survived Much Worse</t>
  </si>
  <si>
    <t>The Flash S07E04 Central City Strong</t>
  </si>
  <si>
    <t>Superman &amp; Lois S01E05 The Best of Smallville</t>
  </si>
  <si>
    <t>Batwoman S02E09 Rule #1</t>
  </si>
  <si>
    <t>The Flash S07E05 Fear Me</t>
  </si>
  <si>
    <t>Supergirl S06E01 Rebirth</t>
  </si>
  <si>
    <t>The Flash S07E06 The One With The Nineties</t>
  </si>
  <si>
    <t>Supergirl S06E02 A Few Good Women</t>
  </si>
  <si>
    <t>Batwoman S02E10 Time Off for Good Behavior</t>
  </si>
  <si>
    <t>Black Lightning S04E07 Painkiller</t>
  </si>
  <si>
    <t>The Flash S07E07 Growing Pains</t>
  </si>
  <si>
    <t>Supergirl S06E03 Phantom Menaces</t>
  </si>
  <si>
    <t>Batwoman S02E11 Arrive Alive</t>
  </si>
  <si>
    <t>Black Lightning S04E08 The Book of Ruin: Chapter Three: Things Fall Apart</t>
  </si>
  <si>
    <t>Supergirl S06E04 Lost Souls</t>
  </si>
  <si>
    <t>Black Lightning S04E09 The Book of Ruin: Chapter Four: Lyding</t>
  </si>
  <si>
    <t>Supergirl S06E05 Prom Night!</t>
  </si>
  <si>
    <t>Batwoman S02E12 Initiate Self-Destruct</t>
  </si>
  <si>
    <t>DC's Legends of Tomorrow S06E01 Ground Control to Sara Lance</t>
  </si>
  <si>
    <t>Black Lightning S04E10 The Book of Reunification: Chapter One: Revelations</t>
  </si>
  <si>
    <t>The Flash S07E08 The People v. Killer Frost</t>
  </si>
  <si>
    <t>Supergirl S06E06 Prom Again!</t>
  </si>
  <si>
    <t>Batwoman S02E13 I'll Give You a Clue</t>
  </si>
  <si>
    <t>DC's Legends of Tomorrow S06E02 Meat: The Legends</t>
  </si>
  <si>
    <t>Black Lightning S04E11 The Book of Reunification: Chapter Two: Trial and Errors</t>
  </si>
  <si>
    <t>The Flash S07E09 Timeless</t>
  </si>
  <si>
    <t>Supergirl S06E07 Fear Knot</t>
  </si>
  <si>
    <t>Batwoman S02E14 And Justice For All</t>
  </si>
  <si>
    <t>DC's Legends of Tomorrow S06E03 The Ex-Factor</t>
  </si>
  <si>
    <t>Black Lightning S04E12 The Book of Resurrection: Chapter One: Crossroads</t>
  </si>
  <si>
    <t>The Flash S07E10 Family Matters, Part 1</t>
  </si>
  <si>
    <t>Superman &amp; Lois S01E06 Broken Trust</t>
  </si>
  <si>
    <t>Black Lightning S04E13 The Book of Resurrection: Chapter Two: Closure</t>
  </si>
  <si>
    <t>The Flash S07E11 Family Matters, Part 2</t>
  </si>
  <si>
    <t>DC's Legends of Tomorrow S06E04 Bay of Squids</t>
  </si>
  <si>
    <t>Superman &amp; Lois S01E07 Man of Steel</t>
  </si>
  <si>
    <t>Superman &amp; Lois S01E08 Holding the Wrench</t>
  </si>
  <si>
    <t>Batwoman S02E15 Armed and Dangerous</t>
  </si>
  <si>
    <t>DC's Legends of Tomorrow S06E05 The Satanist's Apprentice</t>
  </si>
  <si>
    <t>The Flash S07E12 Good-Bye Vibrations</t>
  </si>
  <si>
    <t>Superman &amp; Lois S01E09 Loyal Subjekts</t>
  </si>
  <si>
    <t>Batwoman S02E16 Rebirth</t>
  </si>
  <si>
    <t>DC's Legends of Tomorrow S06E06 Bishop's Gambit</t>
  </si>
  <si>
    <t>The Flash S07E13 Masquerade</t>
  </si>
  <si>
    <t>Superman &amp; Lois S01E10 O Mother, Where Art Thou?</t>
  </si>
  <si>
    <t>Batwoman S02E17 Kane, Kate</t>
  </si>
  <si>
    <t>DC's Legends of Tomorrow S06E07 Back to the Finale: Part II</t>
  </si>
  <si>
    <t>The Flash S07E14 Rayo de Luz</t>
  </si>
  <si>
    <t>Superman &amp; Lois S01E11 A Brief Reminiscence In-Between Cataclysmic Events</t>
  </si>
  <si>
    <t>Batwoman S02E18 Power</t>
  </si>
  <si>
    <t>DC's Legends of Tomorrow S06E08 Stressed Western</t>
  </si>
  <si>
    <t>The Flash S07E15 Enemy At the Gates</t>
  </si>
  <si>
    <t>The Flash S07E16 P.O.W.</t>
  </si>
  <si>
    <t>DC's Legends of Tomorrow S06E09 This is Gus</t>
  </si>
  <si>
    <t>The Flash S07E17 Heart of the Matter, Part 1</t>
  </si>
  <si>
    <t>Superman &amp; Lois S01E12 Through the Valley of Death</t>
  </si>
  <si>
    <t>DC's Legends of Tomorrow S06E10 Bad Blood</t>
  </si>
  <si>
    <t>The Flash S07E18 Heart of the Matter, Part 2</t>
  </si>
  <si>
    <t>Superman &amp; Lois S01E13 Fail Safe</t>
  </si>
  <si>
    <t>DC's Legends of Tomorrow S06E11 The Final Frame</t>
  </si>
  <si>
    <t>Stargirl S02E01 Summer School: Chapter One</t>
  </si>
  <si>
    <t>Superman &amp; Lois S01E14 The Eradicator</t>
  </si>
  <si>
    <t>DC's Legends of Tomorrow S06E12 Bored On Board Onboard</t>
  </si>
  <si>
    <t>Stargirl S02E02 Summer School: Chapter Two</t>
  </si>
  <si>
    <t>Superman &amp; Lois S01E15 Last Sons of Krypton</t>
  </si>
  <si>
    <t>DC's Legends of Tomorrow S06E13 Silence of the Sonograms</t>
  </si>
  <si>
    <t>Supergirl S06E08 Welcome Back, Kara!</t>
  </si>
  <si>
    <t>Stargirl S02E03 Summer School: Chapter Three</t>
  </si>
  <si>
    <t>DC's Legends of Tomorrow S06E14 There Will Be Brood</t>
  </si>
  <si>
    <t>Supergirl S06E09 Dream Weaver</t>
  </si>
  <si>
    <t>Stargirl S02E04 Summer School: Chapter Four</t>
  </si>
  <si>
    <t>DC's Legends of Tomorrow S06E15 The Fungus Amongus</t>
  </si>
  <si>
    <t>Supergirl S06E10 Still I Rise</t>
  </si>
  <si>
    <t>Stargirl S02E05 Summer School: Chapter Five</t>
  </si>
  <si>
    <t>Supergirl S06E11 Mxy in the Middle</t>
  </si>
  <si>
    <t>Stargirl S02E06 Summer School: Chapter Six</t>
  </si>
  <si>
    <t>Supergirl S06E12 Blind Spots</t>
  </si>
  <si>
    <t>Stargirl S02E07 Summer School: Chapter Seven</t>
  </si>
  <si>
    <t>Supergirl S06E13 The Gauntlet</t>
  </si>
  <si>
    <t>Stargirl S02E08 Summer School: Chapter Eight</t>
  </si>
  <si>
    <t>Supergirl S06E14 Magical Thinking</t>
  </si>
  <si>
    <t>Stargirl S02E09 Summer School: Chapter Nine</t>
  </si>
  <si>
    <t>Supergirl S06E15 Hope for Tomorrow</t>
  </si>
  <si>
    <t>Stargirl S02E10 Summer School: Chapter Ten</t>
  </si>
  <si>
    <t>Batwoman S03E01 Mad As a Hatter</t>
  </si>
  <si>
    <t>DC's Legends of Tomorrow S07E01 The Bullet Blondes</t>
  </si>
  <si>
    <t>Supergirl S06E16 Nightmare in National City</t>
  </si>
  <si>
    <t>Stargirl S02E11 Summer School: Chapter Eleven</t>
  </si>
  <si>
    <t>Batwoman S03E02 Loose Tooth</t>
  </si>
  <si>
    <t>DC's Legends of Tomorrow S07E02 The Need for Speed</t>
  </si>
  <si>
    <t>Supergirl S06E17 I Believe in a thing Called Love</t>
  </si>
  <si>
    <t>Stargirl S02E12 Summer School: Chapter Twelve</t>
  </si>
  <si>
    <t>Batwoman S03E03 Freeze</t>
  </si>
  <si>
    <t>DC's Legends of Tomorrow S07E03 wvrdr_error_100 not found</t>
  </si>
  <si>
    <t>Supergirl S06E18 Truth or Consequences</t>
  </si>
  <si>
    <t>Stargirl S02E13 Summer School: Chapter Thirteen</t>
  </si>
  <si>
    <t>Batwoman S03E04 Antifreeze</t>
  </si>
  <si>
    <t>DC's Legends of Tomorrow S07E04 Speakeasy Does It</t>
  </si>
  <si>
    <t>Supergirl S06E19 The Last Gauntlet</t>
  </si>
  <si>
    <t>Supergirl S06E20 Kara</t>
  </si>
  <si>
    <t>Batwoman S03E05 A Lesson From Professor Pyg</t>
  </si>
  <si>
    <t>DC's Legends of Tomorrow S07E05 It's a Mad, Mad, Mad, Mad Scientist</t>
  </si>
  <si>
    <t>The Flash S08E01 Armageddon, Part 1</t>
  </si>
  <si>
    <t>Batwoman S03E06 How Does Your Garden Grow?</t>
  </si>
  <si>
    <t>DC's Legends of Tomorrow S07E06 Deus Ex Latrina</t>
  </si>
  <si>
    <t>The Flash S08E02 Armageddon, Part 2</t>
  </si>
  <si>
    <t>Batwoman S03E07 Pick Your Poison</t>
  </si>
  <si>
    <t>DC's Legends of Tomorrow S07E07 A Woman's Place is in the War Effort!</t>
  </si>
  <si>
    <t>The Flash S08E03 Armageddon, Part 3</t>
  </si>
  <si>
    <t>The Flash S08E04 Armageddon, Part 4</t>
  </si>
  <si>
    <t>The Flash S08E05 Armageddon, Part 5</t>
  </si>
  <si>
    <t>Superman &amp; Lois S02E01 What Lies Beneath</t>
  </si>
  <si>
    <t>Batwoman S03E08 Trust Destiny</t>
  </si>
  <si>
    <t>DC's Legends of Tomorrow S07E08 Paranoid Android</t>
  </si>
  <si>
    <t>Superman &amp; Lois S02E02 The Ties That Bind</t>
  </si>
  <si>
    <t>Batwoman S03E09 Meet Your Maker</t>
  </si>
  <si>
    <t>DC's Legends of Tomorrow S07E09 Lowest Common Demoninator</t>
  </si>
  <si>
    <t>Superman &amp; Lois S02E03 The Thing in the Mines</t>
  </si>
  <si>
    <t>Batwoman S03E10 Toxic</t>
  </si>
  <si>
    <t>DC's Legends of Tomorrow S07E10 The Fixed Point</t>
  </si>
  <si>
    <t>Superman &amp; Lois S02E04 The Inverse Method</t>
  </si>
  <si>
    <t>Batwoman S03E11 Broken Toys</t>
  </si>
  <si>
    <t>DC's Legends of Tomorrow S07E11 Rage Against the Machines</t>
  </si>
  <si>
    <t>Superman &amp; Lois S02E05 Girl... You'll Be a Woman, Soon</t>
  </si>
  <si>
    <t>Batwoman S03E12 We're All Mad Here</t>
  </si>
  <si>
    <t>DC's Legends of Tomorrow S07E12 Too Legit to Quit</t>
  </si>
  <si>
    <t>Superman &amp; Lois S02E06 Tried and True</t>
  </si>
  <si>
    <t>Batwoman S03E13 We Having Fun Yet?</t>
  </si>
  <si>
    <t>DC's Legends of Tomorrow S07E13 Knocked Down, Knocked Up</t>
  </si>
  <si>
    <t>Superman &amp; Lois S02E07 Anti-Hero</t>
  </si>
  <si>
    <t>The Flash S08E06 Impulsive Excessive Disorder</t>
  </si>
  <si>
    <t>The Flash S08E07 Lockdown</t>
  </si>
  <si>
    <t>Superman &amp; Lois S02E08 Into Oblivion</t>
  </si>
  <si>
    <t>The Flash S08E08 The Fire Next Time</t>
  </si>
  <si>
    <t>Superman &amp; Lois S02E09 30 Days and 30 Nights</t>
  </si>
  <si>
    <t>The Flash S08E09 Phantoms</t>
  </si>
  <si>
    <t>The Flash S08E10 Reckless</t>
  </si>
  <si>
    <t>The Flash S08E11 Resurrection</t>
  </si>
  <si>
    <t>Superman &amp; Lois S02E10 Bizarros in a Bizarro World</t>
  </si>
  <si>
    <t>The Flash S08E12 Death Rises</t>
  </si>
  <si>
    <t>Superman &amp; Lois S02E11 Truth and Consequences</t>
  </si>
  <si>
    <t>The Flash S08E13 Death Falls</t>
  </si>
  <si>
    <t>The Flash S08E14 Funeral for a Friend</t>
  </si>
  <si>
    <t>The Flash S08E15 Into the Still Force</t>
  </si>
  <si>
    <t>The Flash S08E16 The Curious Case of Bartholomew Allen</t>
  </si>
  <si>
    <t>Superman &amp; Lois S02E12 Lies That Bind</t>
  </si>
  <si>
    <t>Superman &amp; Lois S02E13 All Is Lost</t>
  </si>
  <si>
    <t>The Flash S08E17 Keep It Dark</t>
  </si>
  <si>
    <t>The Flash S08E18 The Man in the Yellow Tie</t>
  </si>
  <si>
    <t>Superman &amp; Lois S02E14 Worlds War Bizarre</t>
  </si>
  <si>
    <t>The Flash S08E19 Negative, Part One</t>
  </si>
  <si>
    <t>Superman &amp; Lois S02E15 Waiting for Superman</t>
  </si>
  <si>
    <t>The Flash S08E20 Negative, Part Two</t>
  </si>
  <si>
    <t>Stargirl S03E01 Frenemies – Chapter One: The Murder</t>
  </si>
  <si>
    <t>Stargirl S03E02 Frenemies – Chapter Two: The Suspects</t>
  </si>
  <si>
    <t>Stargirl S03E03 Frenemies – Chapter Three: The Blackmail</t>
  </si>
  <si>
    <t>Stargirl S03E04 Frenemies – Chapter Four: The Evidence</t>
  </si>
  <si>
    <t>Stargirl S03E05 Frenemies – Chapter Five: The Thief</t>
  </si>
  <si>
    <t>Stargirl S03E06 Frenemies – Chapter Six: The Betrayal</t>
  </si>
  <si>
    <t>Stargirl S03E07 Frenemies – Chapter Seven: Infinity Inc. Part One</t>
  </si>
  <si>
    <t>Stargirl S03E08 Frenemies – Chapter Eight: Infinity Inc. Part Two</t>
  </si>
  <si>
    <t>Stargirl S03E09 Frenemies – Chapter Nine: The Monsters</t>
  </si>
  <si>
    <t>Stargirl S03E10 Frenemies – Chapter Ten: The Killer</t>
  </si>
  <si>
    <t>Stargirl S03E11 Frenemies – Chapter Eleven: The Haunting</t>
  </si>
  <si>
    <t>Stargirl S03E12 Frenemies – Chapter Twelve: The Last Will and Testament of Sylvester Pemberton</t>
  </si>
  <si>
    <t>Stargirl S03E13 Frenemies – Chapter Thirteen: The Reckoning</t>
  </si>
  <si>
    <t>The Flash S09E01 Wednesday Ever After</t>
  </si>
  <si>
    <t>The Flash S09E02 Hear No Evil</t>
  </si>
  <si>
    <t>The Flash S09E03 Rogues of War</t>
  </si>
  <si>
    <t>The Flash S09E04 The Mask of the Red Death, Part 1</t>
  </si>
  <si>
    <t>The Flash S09E05 The Mask of the Red Death, Part 2</t>
  </si>
  <si>
    <t>Superman &amp; Lois S03E01 Closer</t>
  </si>
  <si>
    <t>The Flash S09E06 The Good, the Bad, and the Lucky</t>
  </si>
  <si>
    <t>Superman &amp; Lois S03E02 Uncontrollable Forces</t>
  </si>
  <si>
    <t>Superman &amp; Lois S03E03 In Cold Blood</t>
  </si>
  <si>
    <t>The Flash S09E07 Wildest Dreams</t>
  </si>
  <si>
    <t>Superman &amp; Lois S03E04 Too Close to Home</t>
  </si>
  <si>
    <t>The Flash S09E08 Partners in Time</t>
  </si>
  <si>
    <t>Superman &amp; Lois S03E05 Head On</t>
  </si>
  <si>
    <t>Superman &amp; Lois S03E06 Of Sound Mind</t>
  </si>
  <si>
    <t>The Flash S09E09 It's My Party and I'll Die If I Want To</t>
  </si>
  <si>
    <t>Superman &amp; Lois S03E07 Forever and Always</t>
  </si>
  <si>
    <t>The Flash S09E10 A New World, Part One</t>
  </si>
  <si>
    <t>Superman &amp; Lois S03E08 Guess Who's Coming to Dinner</t>
  </si>
  <si>
    <t>The Flash S09E11 A New World, Part Two</t>
  </si>
  <si>
    <t>The Flash S09E12 A New World, Part Three</t>
  </si>
  <si>
    <t>Superman &amp; Lois S03E09 The Dress</t>
  </si>
  <si>
    <t>The Flash S09E13 A New World, Part Four</t>
  </si>
  <si>
    <t>Superman &amp; Lois S03E10 Collision Course</t>
  </si>
  <si>
    <t>Superman &amp; Lois S03E11 Complications</t>
  </si>
  <si>
    <t>Superman &amp; Lois S03E12 Injustice</t>
  </si>
  <si>
    <t>Superman &amp; Lois S03E13 What Kills You Only Makes You Stronger</t>
  </si>
  <si>
    <t>A Discovery of Witches</t>
  </si>
  <si>
    <t>Accident, The</t>
  </si>
  <si>
    <t>Chad Powers</t>
  </si>
  <si>
    <t>Task</t>
  </si>
  <si>
    <t>Runarounds, The</t>
  </si>
  <si>
    <t>Lynley</t>
  </si>
  <si>
    <t>Highest 2 Lowest</t>
  </si>
  <si>
    <t>Dead Girls, The</t>
  </si>
  <si>
    <t>Girlfriend, The</t>
  </si>
  <si>
    <t>Human</t>
  </si>
  <si>
    <t>Black Rabbit</t>
  </si>
  <si>
    <t>Brilliant Minds</t>
  </si>
  <si>
    <t>Doc</t>
  </si>
  <si>
    <t>Lowdown, The</t>
  </si>
  <si>
    <t>Savant, The</t>
  </si>
  <si>
    <t>P-Valley</t>
  </si>
  <si>
    <t>Swedish Dicks</t>
  </si>
  <si>
    <t>Beast in Me, The</t>
  </si>
  <si>
    <t>American Primeval</t>
  </si>
  <si>
    <t>Adolescence</t>
  </si>
  <si>
    <t>Angelyne</t>
  </si>
  <si>
    <t>Five Days at a Memorial</t>
  </si>
  <si>
    <t>Griselda</t>
  </si>
  <si>
    <t>I May Destroy You</t>
  </si>
  <si>
    <t>Normal People</t>
  </si>
  <si>
    <t>One Hundred Years of Solitude</t>
  </si>
  <si>
    <t>Death by Lightning</t>
  </si>
  <si>
    <t>All Her Fault</t>
  </si>
  <si>
    <t>Chair Company, The</t>
  </si>
  <si>
    <t>IT: Welcome to Derry</t>
  </si>
  <si>
    <t>Down Cemetery Road</t>
  </si>
  <si>
    <t>Dept. Q</t>
  </si>
  <si>
    <t>Happiness</t>
  </si>
  <si>
    <t>Better Things</t>
  </si>
  <si>
    <t>Seven Dials</t>
  </si>
  <si>
    <t>Agatha All Along S01</t>
  </si>
  <si>
    <t>What If…? S03</t>
  </si>
  <si>
    <t>Your Friendly Neighborhood Spider-Man S01</t>
  </si>
  <si>
    <t>Captain America: Brave New World</t>
  </si>
  <si>
    <t>Daredevil: Born Again S01</t>
  </si>
  <si>
    <t>Thunderbolts*</t>
  </si>
  <si>
    <t>Ironheart S01</t>
  </si>
  <si>
    <t>The Fantastic Four: First Steps</t>
  </si>
  <si>
    <t>Eyes of Wakanda S01</t>
  </si>
  <si>
    <t>Marvel Zombies S01</t>
  </si>
  <si>
    <t>Wonder Man S01</t>
  </si>
  <si>
    <t>Mel Brooks: The 99 Year Old Man!</t>
  </si>
  <si>
    <t>Ponies</t>
  </si>
  <si>
    <t>A Knight of the Seven Kingdoms</t>
  </si>
  <si>
    <t>Riot Women</t>
  </si>
  <si>
    <t>How to Get to Heaven from Belfast</t>
  </si>
  <si>
    <t>Love Story: John F. Kennedy, Jr. and Carolyn Bessette</t>
  </si>
  <si>
    <t>Burbs, The</t>
  </si>
  <si>
    <t>Steal</t>
  </si>
  <si>
    <t>Beauty, The</t>
  </si>
  <si>
    <t>Pee-Wee As Himself</t>
  </si>
  <si>
    <t>Narrow Road to the Deep North, The</t>
  </si>
  <si>
    <t>Long Story Short</t>
  </si>
  <si>
    <t>Wolf Hall</t>
  </si>
  <si>
    <t>Code of Silence</t>
  </si>
  <si>
    <t>Ballard</t>
  </si>
  <si>
    <t>Get Millie Back</t>
  </si>
  <si>
    <t>Toxic Town</t>
  </si>
  <si>
    <t>Dying for Sex</t>
  </si>
  <si>
    <t>Mr. Scorcese</t>
  </si>
  <si>
    <t>Ludwig</t>
  </si>
  <si>
    <t>American Revolution, The</t>
  </si>
  <si>
    <t>#1 Happy Family USA</t>
  </si>
  <si>
    <t>Deli Boys</t>
  </si>
  <si>
    <t>Heated Rivalry</t>
  </si>
  <si>
    <t>Murderbot</t>
  </si>
  <si>
    <t>Devil in Disguise: John Wayne Gacy</t>
  </si>
  <si>
    <t>Hal &amp; Harper</t>
  </si>
  <si>
    <t>Overcompensating</t>
  </si>
  <si>
    <t>Duster</t>
  </si>
  <si>
    <t>Chief of War</t>
  </si>
  <si>
    <t>Miss Austen</t>
  </si>
  <si>
    <t>Pistol</t>
  </si>
  <si>
    <t>Rooster</t>
  </si>
  <si>
    <t>Nurse Jackie</t>
  </si>
  <si>
    <t>Elsbeth</t>
  </si>
  <si>
    <t>Matlock</t>
  </si>
  <si>
    <t>You're the Worst</t>
  </si>
  <si>
    <t>Lioness</t>
  </si>
  <si>
    <t>Dawson's Creek</t>
  </si>
  <si>
    <t>On Becoming a God in Central Florida</t>
  </si>
  <si>
    <t>Drew Carey Show, The</t>
  </si>
  <si>
    <t>Without a Trace</t>
  </si>
  <si>
    <t>Landscapers</t>
  </si>
  <si>
    <t>Rescue Me</t>
  </si>
  <si>
    <t>Continental, The</t>
  </si>
  <si>
    <t>Half Man</t>
  </si>
  <si>
    <t>Big Mistakes</t>
  </si>
  <si>
    <t>Margo's Got Money Troubles</t>
  </si>
  <si>
    <t>Widow's Bay</t>
  </si>
  <si>
    <t>Spider-Noir</t>
  </si>
  <si>
    <t>Boroughs, The</t>
  </si>
  <si>
    <t>Legends</t>
  </si>
  <si>
    <t>Star City</t>
  </si>
  <si>
    <t>Bait</t>
  </si>
  <si>
    <t>Maximum Pleasure Guaranteed</t>
  </si>
  <si>
    <t>Lord of the Flies</t>
  </si>
  <si>
    <t>Detective Hole</t>
  </si>
  <si>
    <t>Paradise</t>
  </si>
  <si>
    <t>Four Seasons, The</t>
  </si>
  <si>
    <t>Jury Duty</t>
  </si>
  <si>
    <t>Amadeus</t>
  </si>
  <si>
    <t>Your Friends &amp; Neighbors</t>
  </si>
  <si>
    <t>DTF St. Louis</t>
  </si>
  <si>
    <t>Something Very Bad is Going to Happen</t>
  </si>
  <si>
    <t>Run Away</t>
  </si>
  <si>
    <t>Love Story: John F. Kennedy &amp; Carolyn Bessette</t>
  </si>
  <si>
    <t>Audacity, The</t>
  </si>
  <si>
    <t>Cape Fear</t>
  </si>
  <si>
    <t>Detectorists</t>
  </si>
  <si>
    <t>Lord of the Flies,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</si>
</sst>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4" borderId="0" xfId="0" applyFont="1" applyFill="1"/>
    <xf numFmtId="0" fontId="1" fillId="5" borderId="0" xfId="0" applyFont="1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9" fontId="0" fillId="9" borderId="0" xfId="0" applyNumberFormat="1" applyFill="1"/>
    <xf numFmtId="49" fontId="0" fillId="10" borderId="0" xfId="0" applyNumberFormat="1" applyFill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1"/>
        </patternFill>
      </fill>
    </dxf>
    <dxf>
      <numFmt numFmtId="0" formatCode="General"/>
      <fill>
        <patternFill patternType="solid">
          <fgColor indexed="64"/>
          <bgColor theme="1"/>
        </patternFill>
      </fill>
    </dxf>
    <dxf>
      <numFmt numFmtId="30" formatCode="@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solid">
          <fgColor indexed="64"/>
          <bgColor theme="1"/>
        </patternFill>
      </fill>
    </dxf>
    <dxf>
      <numFmt numFmtId="30" formatCode="@"/>
    </dxf>
    <dxf>
      <fill>
        <patternFill patternType="solid">
          <fgColor indexed="64"/>
          <bgColor theme="1"/>
        </patternFill>
      </fill>
    </dxf>
    <dxf>
      <numFmt numFmtId="0" formatCode="General"/>
      <fill>
        <patternFill patternType="solid">
          <fgColor indexed="64"/>
          <bgColor theme="1"/>
        </patternFill>
      </fill>
    </dxf>
    <dxf>
      <numFmt numFmtId="30" formatCode="@"/>
    </dxf>
    <dxf>
      <fill>
        <patternFill patternType="solid">
          <fgColor indexed="64"/>
          <bgColor theme="1"/>
        </patternFill>
      </fill>
    </dxf>
    <dxf>
      <numFmt numFmtId="0" formatCode="General"/>
      <fill>
        <patternFill patternType="solid">
          <fgColor indexed="64"/>
          <bgColor theme="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0</xdr:row>
          <xdr:rowOff>152400</xdr:rowOff>
        </xdr:from>
        <xdr:to>
          <xdr:col>3</xdr:col>
          <xdr:colOff>679450</xdr:colOff>
          <xdr:row>2</xdr:row>
          <xdr:rowOff>12700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0</xdr:row>
          <xdr:rowOff>152400</xdr:rowOff>
        </xdr:from>
        <xdr:to>
          <xdr:col>3</xdr:col>
          <xdr:colOff>679450</xdr:colOff>
          <xdr:row>2</xdr:row>
          <xdr:rowOff>12700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0</xdr:row>
          <xdr:rowOff>152400</xdr:rowOff>
        </xdr:from>
        <xdr:to>
          <xdr:col>3</xdr:col>
          <xdr:colOff>679450</xdr:colOff>
          <xdr:row>2</xdr:row>
          <xdr:rowOff>12700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0</xdr:row>
          <xdr:rowOff>152400</xdr:rowOff>
        </xdr:from>
        <xdr:to>
          <xdr:col>3</xdr:col>
          <xdr:colOff>679450</xdr:colOff>
          <xdr:row>2</xdr:row>
          <xdr:rowOff>12700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7B35E-1E18-402E-B568-72A3E0C80922}" name="Table1" displayName="Table1" ref="A9:G974" totalsRowShown="0">
  <autoFilter ref="A9:G974" xr:uid="{02AA1854-456A-417A-933D-5CEF67CE5BEF}"/>
  <sortState xmlns:xlrd2="http://schemas.microsoft.com/office/spreadsheetml/2017/richdata2" ref="A10:G949">
    <sortCondition ref="A9:A949"/>
  </sortState>
  <tableColumns count="7">
    <tableColumn id="1" xr3:uid="{D6550286-B630-486C-B168-264229BEBBAD}" name="Show" dataDxfId="11"/>
    <tableColumn id="2" xr3:uid="{04C5EEC8-FAAD-4445-BB0D-57E1966FE915}" name="30/60"/>
    <tableColumn id="3" xr3:uid="{F284B6AC-E400-49EA-AA09-A0E2C7775300}" name="Mini"/>
    <tableColumn id="4" xr3:uid="{4C77A87B-50B1-4862-BECA-F80E5006D8ED}" name="Franchise"/>
    <tableColumn id="5" xr3:uid="{7271E129-7C64-44A1-8717-A655485B9814}" name="Total" dataDxfId="10">
      <calculatedColumnFormula>SUM($F$9:G9)+0.1</calculatedColumnFormula>
    </tableColumn>
    <tableColumn id="6" xr3:uid="{12767B7B-C626-4AE3-BB64-4D7058737620}" name="Column2" dataDxfId="9"/>
    <tableColumn id="7" xr3:uid="{894FD66D-DB62-4AB0-82EF-DC13CFE4330B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A70A9-6D29-4F7E-9771-EAD23255580F}" name="Table13" displayName="Table13" ref="A9:G919" totalsRowShown="0">
  <autoFilter ref="A9:G919" xr:uid="{02AA1854-456A-417A-933D-5CEF67CE5BEF}"/>
  <sortState xmlns:xlrd2="http://schemas.microsoft.com/office/spreadsheetml/2017/richdata2" ref="A10:G919">
    <sortCondition ref="A9:A919"/>
  </sortState>
  <tableColumns count="7">
    <tableColumn id="1" xr3:uid="{4203898D-E599-4C37-8531-7D8E3EA5FC56}" name="Show" dataDxfId="8"/>
    <tableColumn id="2" xr3:uid="{76E2DB51-9550-4384-BB7B-247438FE60C2}" name="30/60"/>
    <tableColumn id="3" xr3:uid="{F621EE3A-2637-4092-BB10-04289865E0DD}" name="Mini"/>
    <tableColumn id="4" xr3:uid="{BA0D97F1-CC71-47AF-B9D3-3D80D4EC4C26}" name="Franchise"/>
    <tableColumn id="5" xr3:uid="{66A72C89-E272-4FF8-8FDF-82A67810FEB6}" name="Total" dataDxfId="7">
      <calculatedColumnFormula>SUM($F$9:G9)+0.1</calculatedColumnFormula>
    </tableColumn>
    <tableColumn id="6" xr3:uid="{4E3C2A55-45EE-4877-A757-2BE00D9EC0A8}" name="Scotty" dataDxfId="6"/>
    <tableColumn id="7" xr3:uid="{4E7B61AA-81C0-4B23-9CD6-0F8654281214}" name="Shel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35DD3-8D3A-40BC-9ECC-14987946386F}" name="Table134" displayName="Table134" ref="A9:G918" totalsRowShown="0">
  <autoFilter ref="A9:G918" xr:uid="{02AA1854-456A-417A-933D-5CEF67CE5BEF}"/>
  <sortState xmlns:xlrd2="http://schemas.microsoft.com/office/spreadsheetml/2017/richdata2" ref="A10:G918">
    <sortCondition ref="A9:A918"/>
  </sortState>
  <tableColumns count="7">
    <tableColumn id="1" xr3:uid="{693FD928-B480-48FB-9130-23A4C87D8BF9}" name="Show" dataDxfId="14"/>
    <tableColumn id="2" xr3:uid="{CB8017DE-991D-4E78-93FA-256AB8D9DD79}" name="30/60"/>
    <tableColumn id="3" xr3:uid="{283D2CA9-844C-41A0-8B39-02C5C195539D}" name="Mini"/>
    <tableColumn id="4" xr3:uid="{1601D931-1F97-4A53-AB5A-E132654FE9FA}" name="Franchise"/>
    <tableColumn id="5" xr3:uid="{7654FC91-55B4-41EA-B83D-D307F91EF02E}" name="Total" dataDxfId="13">
      <calculatedColumnFormula>SUM($F$9:G9)+0.1</calculatedColumnFormula>
    </tableColumn>
    <tableColumn id="6" xr3:uid="{A79C8EEB-A105-48DE-9010-174E79B394AE}" name="Column2" dataDxfId="12"/>
    <tableColumn id="7" xr3:uid="{84E80099-D60C-4AD0-BC7E-FA69A6125F47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853EDF-E476-44B8-AAD5-4BA00A5DD602}" name="Table1345" displayName="Table1345" ref="A9:G919" totalsRowShown="0">
  <autoFilter ref="A9:G919" xr:uid="{02AA1854-456A-417A-933D-5CEF67CE5BEF}"/>
  <sortState xmlns:xlrd2="http://schemas.microsoft.com/office/spreadsheetml/2017/richdata2" ref="A10:G919">
    <sortCondition ref="A9:A919"/>
  </sortState>
  <tableColumns count="7">
    <tableColumn id="1" xr3:uid="{3D7653CC-D91A-4F38-BCE2-C5BE6EBB5590}" name="Show" dataDxfId="5"/>
    <tableColumn id="2" xr3:uid="{52E57358-5C83-430A-9F2C-5A5791C4290A}" name="30/60"/>
    <tableColumn id="3" xr3:uid="{7322B0D6-46DE-46D3-83E7-93AEA7EC68B5}" name="Mini"/>
    <tableColumn id="4" xr3:uid="{309601D6-ED7F-4CE2-9980-BE1829FA09F7}" name="Franchise"/>
    <tableColumn id="5" xr3:uid="{315D2ECB-A48C-484A-B30E-D79155B2515F}" name="Total" dataDxfId="4">
      <calculatedColumnFormula>SUM($F$9:G9)+0.1</calculatedColumnFormula>
    </tableColumn>
    <tableColumn id="6" xr3:uid="{C4239B41-47CF-4723-A9E6-06F3247145BA}" name="Column2" dataDxfId="3"/>
    <tableColumn id="7" xr3:uid="{CC3BBD72-493B-427D-9DDF-D0D22302153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4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2021-93BD-4510-9416-00D9B704FD90}">
  <sheetPr codeName="Sheet1"/>
  <dimension ref="A1:G974"/>
  <sheetViews>
    <sheetView tabSelected="1" workbookViewId="0">
      <selection activeCell="D2" sqref="D2"/>
    </sheetView>
  </sheetViews>
  <sheetFormatPr defaultRowHeight="14.5" x14ac:dyDescent="0.35"/>
  <cols>
    <col min="1" max="1" width="66.1796875" style="1" bestFit="1" customWidth="1"/>
    <col min="4" max="4" width="11.54296875" customWidth="1"/>
  </cols>
  <sheetData>
    <row r="1" spans="1:7" x14ac:dyDescent="0.35">
      <c r="A1" s="1" t="s">
        <v>923</v>
      </c>
      <c r="B1">
        <f>SUM(Table1[[Column2]:[Column3]])</f>
        <v>3000</v>
      </c>
    </row>
    <row r="2" spans="1:7" x14ac:dyDescent="0.35">
      <c r="A2" s="1" t="s">
        <v>924</v>
      </c>
      <c r="B2">
        <f ca="1">RANDBETWEEN(1,B1)</f>
        <v>2248</v>
      </c>
    </row>
    <row r="3" spans="1:7" x14ac:dyDescent="0.35">
      <c r="A3" s="1" t="s">
        <v>925</v>
      </c>
      <c r="B3">
        <f ca="1">MATCH(B2,Table1[Total],1)</f>
        <v>916</v>
      </c>
    </row>
    <row r="6" spans="1:7" x14ac:dyDescent="0.35">
      <c r="A6" s="1" t="s">
        <v>926</v>
      </c>
      <c r="B6" t="str">
        <f ca="1">IF(F8=G8,INDEX(Table1[Show],B3),"cheater")</f>
        <v>Wire, The</v>
      </c>
    </row>
    <row r="8" spans="1:7" x14ac:dyDescent="0.35">
      <c r="F8">
        <f>SUM(Table1[Column2])</f>
        <v>1500</v>
      </c>
      <c r="G8">
        <f>SUM(Table1[Column3])</f>
        <v>1500</v>
      </c>
    </row>
    <row r="9" spans="1:7" x14ac:dyDescent="0.35">
      <c r="A9" s="1" t="s">
        <v>897</v>
      </c>
      <c r="B9" t="s">
        <v>898</v>
      </c>
      <c r="C9" t="s">
        <v>901</v>
      </c>
      <c r="D9" t="s">
        <v>899</v>
      </c>
      <c r="E9" t="s">
        <v>922</v>
      </c>
      <c r="F9" t="s">
        <v>920</v>
      </c>
      <c r="G9" t="s">
        <v>921</v>
      </c>
    </row>
    <row r="10" spans="1:7" x14ac:dyDescent="0.35">
      <c r="A10" s="1">
        <v>24</v>
      </c>
      <c r="B10">
        <v>60</v>
      </c>
      <c r="E10" s="4">
        <f>SUM($F$9:G9)+0.1</f>
        <v>0.1</v>
      </c>
      <c r="F10" s="4"/>
    </row>
    <row r="11" spans="1:7" x14ac:dyDescent="0.35">
      <c r="A11" s="1">
        <v>1883</v>
      </c>
      <c r="B11">
        <v>60</v>
      </c>
      <c r="C11" t="s">
        <v>901</v>
      </c>
      <c r="D11" t="s">
        <v>153</v>
      </c>
      <c r="E11" s="4">
        <f>SUM($F$9:G10)+0.1</f>
        <v>0.1</v>
      </c>
      <c r="F11" s="4"/>
    </row>
    <row r="12" spans="1:7" x14ac:dyDescent="0.35">
      <c r="A12" s="1">
        <v>1899</v>
      </c>
      <c r="B12">
        <v>60</v>
      </c>
      <c r="C12">
        <v>1</v>
      </c>
      <c r="E12" s="4">
        <f>SUM($F$9:G11)+0.1</f>
        <v>0.1</v>
      </c>
      <c r="F12" s="4"/>
    </row>
    <row r="13" spans="1:7" x14ac:dyDescent="0.35">
      <c r="A13" s="1">
        <v>1923</v>
      </c>
      <c r="B13">
        <v>60</v>
      </c>
      <c r="C13">
        <v>1</v>
      </c>
      <c r="D13" t="s">
        <v>153</v>
      </c>
      <c r="E13" s="4">
        <f>SUM($F$9:G12)+0.1</f>
        <v>0.1</v>
      </c>
      <c r="F13" s="4"/>
    </row>
    <row r="14" spans="1:7" x14ac:dyDescent="0.35">
      <c r="A14" s="1" t="s">
        <v>370</v>
      </c>
      <c r="B14">
        <v>60</v>
      </c>
      <c r="C14" t="s">
        <v>901</v>
      </c>
      <c r="E14" s="4">
        <f>SUM($F$9:G13)+0.1</f>
        <v>0.1</v>
      </c>
      <c r="F14" s="4"/>
    </row>
    <row r="15" spans="1:7" x14ac:dyDescent="0.35">
      <c r="A15" s="1" t="s">
        <v>386</v>
      </c>
      <c r="B15">
        <v>60</v>
      </c>
      <c r="E15" s="4">
        <f>SUM($F$9:G14)+0.1</f>
        <v>0.1</v>
      </c>
      <c r="F15" s="4">
        <v>1</v>
      </c>
    </row>
    <row r="16" spans="1:7" x14ac:dyDescent="0.35">
      <c r="A16" s="1" t="s">
        <v>214</v>
      </c>
      <c r="B16">
        <v>60</v>
      </c>
      <c r="E16" s="4">
        <f>SUM($F$9:G15)+0.1</f>
        <v>1.1000000000000001</v>
      </c>
      <c r="F16" s="4"/>
    </row>
    <row r="17" spans="1:6" x14ac:dyDescent="0.35">
      <c r="A17" s="1" t="s">
        <v>661</v>
      </c>
      <c r="B17">
        <v>60</v>
      </c>
      <c r="C17" t="s">
        <v>900</v>
      </c>
      <c r="E17" s="4">
        <f>SUM($F$9:G16)+0.1</f>
        <v>1.1000000000000001</v>
      </c>
      <c r="F17" s="4"/>
    </row>
    <row r="18" spans="1:6" x14ac:dyDescent="0.35">
      <c r="A18" s="1" t="s">
        <v>790</v>
      </c>
      <c r="B18">
        <v>60</v>
      </c>
      <c r="C18" t="s">
        <v>900</v>
      </c>
      <c r="E18" s="4">
        <f>SUM($F$9:G17)+0.1</f>
        <v>1.1000000000000001</v>
      </c>
      <c r="F18" s="4"/>
    </row>
    <row r="19" spans="1:6" x14ac:dyDescent="0.35">
      <c r="A19" s="1" t="s">
        <v>726</v>
      </c>
      <c r="B19">
        <v>60</v>
      </c>
      <c r="C19" t="s">
        <v>900</v>
      </c>
      <c r="E19" s="4">
        <f>SUM($F$9:G18)+0.1</f>
        <v>1.1000000000000001</v>
      </c>
      <c r="F19" s="4"/>
    </row>
    <row r="20" spans="1:6" x14ac:dyDescent="0.35">
      <c r="A20" s="1" t="s">
        <v>727</v>
      </c>
      <c r="B20">
        <v>60</v>
      </c>
      <c r="C20" t="s">
        <v>900</v>
      </c>
      <c r="E20" s="4">
        <f>SUM($F$9:G19)+0.1</f>
        <v>1.1000000000000001</v>
      </c>
      <c r="F20" s="4"/>
    </row>
    <row r="21" spans="1:6" x14ac:dyDescent="0.35">
      <c r="A21" s="1" t="s">
        <v>582</v>
      </c>
      <c r="B21">
        <v>60</v>
      </c>
      <c r="E21" s="4">
        <f>SUM($F$9:G20)+0.1</f>
        <v>1.1000000000000001</v>
      </c>
      <c r="F21" s="4"/>
    </row>
    <row r="22" spans="1:6" x14ac:dyDescent="0.35">
      <c r="A22" s="1" t="s">
        <v>461</v>
      </c>
      <c r="B22">
        <v>60</v>
      </c>
      <c r="C22">
        <v>1</v>
      </c>
      <c r="D22">
        <v>24</v>
      </c>
      <c r="E22" s="4">
        <f>SUM($F$9:G21)+0.1</f>
        <v>1.1000000000000001</v>
      </c>
      <c r="F22" s="4"/>
    </row>
    <row r="23" spans="1:6" x14ac:dyDescent="0.35">
      <c r="A23" s="1" t="s">
        <v>190</v>
      </c>
      <c r="B23">
        <v>60</v>
      </c>
      <c r="E23" s="4">
        <f>SUM($F$9:G22)+0.1</f>
        <v>1.1000000000000001</v>
      </c>
      <c r="F23" s="4"/>
    </row>
    <row r="24" spans="1:6" x14ac:dyDescent="0.35">
      <c r="A24" s="1" t="s">
        <v>0</v>
      </c>
      <c r="B24">
        <v>60</v>
      </c>
      <c r="C24" t="s">
        <v>900</v>
      </c>
      <c r="E24" s="4">
        <f>SUM($F$9:G23)+0.1</f>
        <v>1.1000000000000001</v>
      </c>
      <c r="F24" s="4"/>
    </row>
    <row r="25" spans="1:6" x14ac:dyDescent="0.35">
      <c r="A25" s="1" t="s">
        <v>1</v>
      </c>
      <c r="B25">
        <v>30</v>
      </c>
      <c r="E25" s="4">
        <f>SUM($F$9:G24)+0.1</f>
        <v>1.1000000000000001</v>
      </c>
      <c r="F25" s="4">
        <v>5</v>
      </c>
    </row>
    <row r="26" spans="1:6" x14ac:dyDescent="0.35">
      <c r="A26" s="1" t="s">
        <v>916</v>
      </c>
      <c r="B26">
        <v>60</v>
      </c>
      <c r="C26" t="s">
        <v>901</v>
      </c>
      <c r="E26" s="4">
        <f>SUM($F$9:G25)+0.1</f>
        <v>6.1</v>
      </c>
      <c r="F26" s="4"/>
    </row>
    <row r="27" spans="1:6" x14ac:dyDescent="0.35">
      <c r="A27" s="2" t="s">
        <v>462</v>
      </c>
      <c r="B27">
        <v>60</v>
      </c>
      <c r="E27" s="4">
        <f>SUM($F$9:G26)+0.1</f>
        <v>6.1</v>
      </c>
      <c r="F27" s="4"/>
    </row>
    <row r="28" spans="1:6" x14ac:dyDescent="0.35">
      <c r="A28" s="2" t="s">
        <v>583</v>
      </c>
      <c r="B28">
        <v>60</v>
      </c>
      <c r="C28" t="s">
        <v>900</v>
      </c>
      <c r="E28" s="4">
        <f>SUM($F$9:G27)+0.1</f>
        <v>6.1</v>
      </c>
      <c r="F28" s="4"/>
    </row>
    <row r="29" spans="1:6" x14ac:dyDescent="0.35">
      <c r="A29" s="1" t="s">
        <v>662</v>
      </c>
      <c r="B29">
        <v>30</v>
      </c>
      <c r="C29" t="s">
        <v>903</v>
      </c>
      <c r="E29" s="4">
        <f>SUM($F$9:G28)+0.1</f>
        <v>6.1</v>
      </c>
      <c r="F29" s="4"/>
    </row>
    <row r="30" spans="1:6" x14ac:dyDescent="0.35">
      <c r="A30" s="1" t="s">
        <v>463</v>
      </c>
      <c r="B30">
        <v>60</v>
      </c>
      <c r="C30" t="s">
        <v>901</v>
      </c>
      <c r="E30" s="4">
        <f>SUM($F$9:G29)+0.1</f>
        <v>6.1</v>
      </c>
      <c r="F30" s="4"/>
    </row>
    <row r="31" spans="1:6" x14ac:dyDescent="0.35">
      <c r="A31" s="1" t="s">
        <v>841</v>
      </c>
      <c r="B31">
        <v>60</v>
      </c>
      <c r="C31" t="s">
        <v>901</v>
      </c>
      <c r="E31" s="4">
        <f>SUM($F$9:G30)+0.1</f>
        <v>6.1</v>
      </c>
      <c r="F31" s="4"/>
    </row>
    <row r="32" spans="1:6" x14ac:dyDescent="0.35">
      <c r="A32" s="1" t="s">
        <v>873</v>
      </c>
      <c r="B32">
        <v>60</v>
      </c>
      <c r="C32" t="s">
        <v>901</v>
      </c>
      <c r="E32" s="4">
        <f>SUM($F$9:G31)+0.1</f>
        <v>6.1</v>
      </c>
      <c r="F32" s="4"/>
    </row>
    <row r="33" spans="1:6" x14ac:dyDescent="0.35">
      <c r="A33" s="1" t="s">
        <v>584</v>
      </c>
      <c r="B33">
        <v>60</v>
      </c>
      <c r="C33">
        <v>1</v>
      </c>
      <c r="D33" t="s">
        <v>902</v>
      </c>
      <c r="E33" s="4">
        <f>SUM($F$9:G32)+0.1</f>
        <v>6.1</v>
      </c>
      <c r="F33" s="4"/>
    </row>
    <row r="34" spans="1:6" x14ac:dyDescent="0.35">
      <c r="A34" s="1" t="s">
        <v>466</v>
      </c>
      <c r="B34">
        <v>60</v>
      </c>
      <c r="C34" t="s">
        <v>901</v>
      </c>
      <c r="E34" s="4">
        <f>SUM($F$9:G33)+0.1</f>
        <v>6.1</v>
      </c>
      <c r="F34" s="4"/>
    </row>
    <row r="35" spans="1:6" x14ac:dyDescent="0.35">
      <c r="A35" s="1" t="s">
        <v>589</v>
      </c>
      <c r="B35">
        <v>60</v>
      </c>
      <c r="C35" t="s">
        <v>901</v>
      </c>
      <c r="E35" s="4">
        <f>SUM($F$9:G34)+0.1</f>
        <v>6.1</v>
      </c>
      <c r="F35" s="4"/>
    </row>
    <row r="36" spans="1:6" x14ac:dyDescent="0.35">
      <c r="A36" s="1" t="s">
        <v>590</v>
      </c>
      <c r="B36">
        <v>60</v>
      </c>
      <c r="C36" t="s">
        <v>901</v>
      </c>
      <c r="E36" s="4">
        <f>SUM($F$9:G35)+0.1</f>
        <v>6.1</v>
      </c>
      <c r="F36" s="4"/>
    </row>
    <row r="37" spans="1:6" x14ac:dyDescent="0.35">
      <c r="A37" s="1" t="s">
        <v>221</v>
      </c>
      <c r="B37">
        <v>30</v>
      </c>
      <c r="C37" t="s">
        <v>903</v>
      </c>
      <c r="E37" s="4">
        <f>SUM($F$9:G36)+0.1</f>
        <v>6.1</v>
      </c>
      <c r="F37" s="4"/>
    </row>
    <row r="38" spans="1:6" x14ac:dyDescent="0.35">
      <c r="A38" s="1" t="s">
        <v>222</v>
      </c>
      <c r="B38">
        <v>30</v>
      </c>
      <c r="E38" s="4">
        <f>SUM($F$9:G37)+0.1</f>
        <v>6.1</v>
      </c>
      <c r="F38" s="4"/>
    </row>
    <row r="39" spans="1:6" x14ac:dyDescent="0.35">
      <c r="A39" s="1" t="s">
        <v>830</v>
      </c>
      <c r="B39">
        <v>30</v>
      </c>
      <c r="E39" s="4">
        <f>SUM($F$9:G38)+0.1</f>
        <v>6.1</v>
      </c>
      <c r="F39" s="4"/>
    </row>
    <row r="40" spans="1:6" x14ac:dyDescent="0.35">
      <c r="A40" s="1" t="s">
        <v>776</v>
      </c>
      <c r="B40">
        <v>60</v>
      </c>
      <c r="E40" s="4">
        <f>SUM($F$9:G39)+0.1</f>
        <v>6.1</v>
      </c>
      <c r="F40" s="4"/>
    </row>
    <row r="41" spans="1:6" x14ac:dyDescent="0.35">
      <c r="A41" s="1" t="s">
        <v>223</v>
      </c>
      <c r="B41">
        <v>60</v>
      </c>
      <c r="C41" t="s">
        <v>901</v>
      </c>
      <c r="E41" s="4">
        <f>SUM($F$9:G40)+0.1</f>
        <v>6.1</v>
      </c>
      <c r="F41" s="4"/>
    </row>
    <row r="42" spans="1:6" x14ac:dyDescent="0.35">
      <c r="A42" s="1" t="s">
        <v>2</v>
      </c>
      <c r="B42">
        <v>60</v>
      </c>
      <c r="E42" s="4">
        <f>SUM($F$9:G41)+0.1</f>
        <v>6.1</v>
      </c>
      <c r="F42" s="4"/>
    </row>
    <row r="43" spans="1:6" x14ac:dyDescent="0.35">
      <c r="A43" s="1" t="s">
        <v>224</v>
      </c>
      <c r="B43">
        <v>60</v>
      </c>
      <c r="E43" s="4">
        <f>SUM($F$9:G42)+0.1</f>
        <v>6.1</v>
      </c>
      <c r="F43" s="4"/>
    </row>
    <row r="44" spans="1:6" x14ac:dyDescent="0.35">
      <c r="A44" s="1" t="s">
        <v>663</v>
      </c>
      <c r="B44">
        <v>60</v>
      </c>
      <c r="E44" s="4">
        <f>SUM($F$9:G43)+0.1</f>
        <v>6.1</v>
      </c>
      <c r="F44" s="4"/>
    </row>
    <row r="45" spans="1:6" x14ac:dyDescent="0.35">
      <c r="A45" s="1" t="s">
        <v>3</v>
      </c>
      <c r="B45">
        <v>60</v>
      </c>
      <c r="E45" s="4">
        <f>SUM($F$9:G44)+0.1</f>
        <v>6.1</v>
      </c>
      <c r="F45" s="4"/>
    </row>
    <row r="46" spans="1:6" x14ac:dyDescent="0.35">
      <c r="A46" s="1" t="s">
        <v>225</v>
      </c>
      <c r="B46">
        <v>60</v>
      </c>
      <c r="E46" s="4">
        <f>SUM($F$9:G45)+0.1</f>
        <v>6.1</v>
      </c>
      <c r="F46" s="4"/>
    </row>
    <row r="47" spans="1:6" x14ac:dyDescent="0.35">
      <c r="A47" s="1" t="s">
        <v>4</v>
      </c>
      <c r="B47">
        <v>60</v>
      </c>
      <c r="C47" t="s">
        <v>903</v>
      </c>
      <c r="E47" s="4">
        <f>SUM($F$9:G46)+0.1</f>
        <v>6.1</v>
      </c>
      <c r="F47" s="4"/>
    </row>
    <row r="48" spans="1:6" x14ac:dyDescent="0.35">
      <c r="A48" s="1" t="s">
        <v>5</v>
      </c>
      <c r="B48">
        <v>60</v>
      </c>
      <c r="E48" s="4">
        <f>SUM($F$9:G47)+0.1</f>
        <v>6.1</v>
      </c>
      <c r="F48" s="4"/>
    </row>
    <row r="49" spans="1:6" x14ac:dyDescent="0.35">
      <c r="A49" s="1" t="s">
        <v>464</v>
      </c>
      <c r="B49">
        <v>60</v>
      </c>
      <c r="C49" t="s">
        <v>903</v>
      </c>
      <c r="E49" s="4">
        <f>SUM($F$9:G48)+0.1</f>
        <v>6.1</v>
      </c>
      <c r="F49" s="4"/>
    </row>
    <row r="50" spans="1:6" x14ac:dyDescent="0.35">
      <c r="A50" s="1" t="s">
        <v>6</v>
      </c>
      <c r="B50">
        <v>60</v>
      </c>
      <c r="C50" t="s">
        <v>903</v>
      </c>
      <c r="E50" s="4">
        <f>SUM($F$9:G49)+0.1</f>
        <v>6.1</v>
      </c>
      <c r="F50" s="4"/>
    </row>
    <row r="51" spans="1:6" x14ac:dyDescent="0.35">
      <c r="A51" s="1" t="s">
        <v>196</v>
      </c>
      <c r="B51">
        <v>60</v>
      </c>
      <c r="C51" t="s">
        <v>900</v>
      </c>
      <c r="E51" s="4">
        <f>SUM($F$9:G50)+0.1</f>
        <v>6.1</v>
      </c>
      <c r="F51" s="4"/>
    </row>
    <row r="52" spans="1:6" x14ac:dyDescent="0.35">
      <c r="A52" s="1" t="s">
        <v>585</v>
      </c>
      <c r="B52">
        <v>60</v>
      </c>
      <c r="C52" t="s">
        <v>900</v>
      </c>
      <c r="E52" s="4">
        <f>SUM($F$9:G51)+0.1</f>
        <v>6.1</v>
      </c>
      <c r="F52" s="4"/>
    </row>
    <row r="53" spans="1:6" x14ac:dyDescent="0.35">
      <c r="A53" s="1" t="s">
        <v>226</v>
      </c>
      <c r="B53">
        <v>30</v>
      </c>
      <c r="E53" s="4">
        <f>SUM($F$9:G52)+0.1</f>
        <v>6.1</v>
      </c>
      <c r="F53" s="4"/>
    </row>
    <row r="54" spans="1:6" x14ac:dyDescent="0.35">
      <c r="A54" s="1" t="s">
        <v>7</v>
      </c>
      <c r="B54">
        <v>60</v>
      </c>
      <c r="E54" s="4">
        <f>SUM($F$9:G53)+0.1</f>
        <v>6.1</v>
      </c>
      <c r="F54" s="4">
        <v>50</v>
      </c>
    </row>
    <row r="55" spans="1:6" x14ac:dyDescent="0.35">
      <c r="A55" s="1" t="s">
        <v>586</v>
      </c>
      <c r="B55">
        <v>30</v>
      </c>
      <c r="C55" t="s">
        <v>900</v>
      </c>
      <c r="E55" s="4">
        <f>SUM($F$9:G54)+0.1</f>
        <v>56.1</v>
      </c>
      <c r="F55" s="4"/>
    </row>
    <row r="56" spans="1:6" x14ac:dyDescent="0.35">
      <c r="A56" s="1" t="s">
        <v>227</v>
      </c>
      <c r="B56">
        <v>60</v>
      </c>
      <c r="C56" t="s">
        <v>901</v>
      </c>
      <c r="E56" s="4">
        <f>SUM($F$9:G55)+0.1</f>
        <v>56.1</v>
      </c>
      <c r="F56" s="4"/>
    </row>
    <row r="57" spans="1:6" x14ac:dyDescent="0.35">
      <c r="A57" s="1" t="s">
        <v>8</v>
      </c>
      <c r="B57">
        <v>60</v>
      </c>
      <c r="C57" t="s">
        <v>900</v>
      </c>
      <c r="E57" s="4">
        <f>SUM($F$9:G56)+0.1</f>
        <v>56.1</v>
      </c>
      <c r="F57" s="4"/>
    </row>
    <row r="58" spans="1:6" x14ac:dyDescent="0.35">
      <c r="A58" s="1" t="s">
        <v>664</v>
      </c>
      <c r="B58">
        <v>60</v>
      </c>
      <c r="C58" t="s">
        <v>901</v>
      </c>
      <c r="E58" s="4">
        <f>SUM($F$9:G57)+0.1</f>
        <v>56.1</v>
      </c>
      <c r="F58" s="4"/>
    </row>
    <row r="59" spans="1:6" x14ac:dyDescent="0.35">
      <c r="A59" s="1" t="s">
        <v>587</v>
      </c>
      <c r="B59">
        <v>60</v>
      </c>
      <c r="E59" s="4">
        <f>SUM($F$9:G58)+0.1</f>
        <v>56.1</v>
      </c>
      <c r="F59" s="4"/>
    </row>
    <row r="60" spans="1:6" x14ac:dyDescent="0.35">
      <c r="A60" s="1" t="s">
        <v>9</v>
      </c>
      <c r="B60">
        <v>30</v>
      </c>
      <c r="E60" s="4">
        <f>SUM($F$9:G59)+0.1</f>
        <v>56.1</v>
      </c>
      <c r="F60" s="4"/>
    </row>
    <row r="61" spans="1:6" x14ac:dyDescent="0.35">
      <c r="A61" s="1" t="s">
        <v>228</v>
      </c>
      <c r="B61">
        <v>60</v>
      </c>
      <c r="E61" s="4">
        <f>SUM($F$9:G60)+0.1</f>
        <v>56.1</v>
      </c>
      <c r="F61" s="4"/>
    </row>
    <row r="62" spans="1:6" x14ac:dyDescent="0.35">
      <c r="A62" s="1" t="s">
        <v>465</v>
      </c>
      <c r="B62">
        <v>60</v>
      </c>
      <c r="C62" t="s">
        <v>901</v>
      </c>
      <c r="E62" s="4">
        <f>SUM($F$9:G61)+0.1</f>
        <v>56.1</v>
      </c>
      <c r="F62" s="4"/>
    </row>
    <row r="63" spans="1:6" x14ac:dyDescent="0.35">
      <c r="A63" s="1" t="s">
        <v>729</v>
      </c>
      <c r="B63">
        <v>60</v>
      </c>
      <c r="C63" t="s">
        <v>900</v>
      </c>
      <c r="E63" s="4">
        <f>SUM($F$9:G62)+0.1</f>
        <v>56.1</v>
      </c>
      <c r="F63" s="4"/>
    </row>
    <row r="64" spans="1:6" x14ac:dyDescent="0.35">
      <c r="A64" s="1" t="s">
        <v>229</v>
      </c>
      <c r="B64">
        <v>60</v>
      </c>
      <c r="E64" s="4">
        <f>SUM($F$9:G63)+0.1</f>
        <v>56.1</v>
      </c>
      <c r="F64" s="4"/>
    </row>
    <row r="65" spans="1:6" x14ac:dyDescent="0.35">
      <c r="A65" s="1" t="s">
        <v>10</v>
      </c>
      <c r="B65">
        <v>30</v>
      </c>
      <c r="E65" s="4">
        <f>SUM($F$9:G64)+0.1</f>
        <v>56.1</v>
      </c>
      <c r="F65" s="4"/>
    </row>
    <row r="66" spans="1:6" x14ac:dyDescent="0.35">
      <c r="A66" s="1" t="s">
        <v>11</v>
      </c>
      <c r="E66" s="4">
        <f>SUM($F$9:G65)+0.1</f>
        <v>56.1</v>
      </c>
      <c r="F66" s="4"/>
    </row>
    <row r="67" spans="1:6" x14ac:dyDescent="0.35">
      <c r="A67" s="1" t="s">
        <v>49</v>
      </c>
      <c r="B67" s="3"/>
      <c r="E67" s="4">
        <f>SUM($F$9:G66)+0.1</f>
        <v>56.1</v>
      </c>
      <c r="F67" s="4">
        <v>75</v>
      </c>
    </row>
    <row r="68" spans="1:6" x14ac:dyDescent="0.35">
      <c r="A68" s="1" t="s">
        <v>588</v>
      </c>
      <c r="B68">
        <v>30</v>
      </c>
      <c r="E68" s="4">
        <f>SUM($F$9:G67)+0.1</f>
        <v>131.1</v>
      </c>
      <c r="F68" s="4"/>
    </row>
    <row r="69" spans="1:6" x14ac:dyDescent="0.35">
      <c r="A69" s="1" t="s">
        <v>12</v>
      </c>
      <c r="B69">
        <v>30</v>
      </c>
      <c r="E69" s="4">
        <f>SUM($F$9:G68)+0.1</f>
        <v>131.1</v>
      </c>
      <c r="F69" s="4"/>
    </row>
    <row r="70" spans="1:6" x14ac:dyDescent="0.35">
      <c r="A70" s="1" t="s">
        <v>467</v>
      </c>
      <c r="B70">
        <v>30</v>
      </c>
      <c r="E70" s="4">
        <f>SUM($F$9:G69)+0.1</f>
        <v>131.1</v>
      </c>
      <c r="F70" s="4">
        <v>18</v>
      </c>
    </row>
    <row r="71" spans="1:6" x14ac:dyDescent="0.35">
      <c r="A71" s="1" t="s">
        <v>230</v>
      </c>
      <c r="B71">
        <v>30</v>
      </c>
      <c r="E71" s="4">
        <f>SUM($F$9:G70)+0.1</f>
        <v>149.1</v>
      </c>
      <c r="F71" s="4"/>
    </row>
    <row r="72" spans="1:6" x14ac:dyDescent="0.35">
      <c r="A72" s="1" t="s">
        <v>231</v>
      </c>
      <c r="B72">
        <v>30</v>
      </c>
      <c r="C72" t="s">
        <v>903</v>
      </c>
      <c r="E72" s="4">
        <f>SUM($F$9:G71)+0.1</f>
        <v>149.1</v>
      </c>
      <c r="F72" s="4"/>
    </row>
    <row r="73" spans="1:6" x14ac:dyDescent="0.35">
      <c r="A73" s="1" t="s">
        <v>791</v>
      </c>
      <c r="B73">
        <v>30</v>
      </c>
      <c r="E73" s="4">
        <f>SUM($F$9:G72)+0.1</f>
        <v>149.1</v>
      </c>
      <c r="F73" s="4"/>
    </row>
    <row r="74" spans="1:6" x14ac:dyDescent="0.35">
      <c r="A74" s="1" t="s">
        <v>468</v>
      </c>
      <c r="B74">
        <v>30</v>
      </c>
      <c r="E74" s="4">
        <f>SUM($F$9:G73)+0.1</f>
        <v>149.1</v>
      </c>
      <c r="F74" s="4"/>
    </row>
    <row r="75" spans="1:6" x14ac:dyDescent="0.35">
      <c r="A75" s="1" t="s">
        <v>198</v>
      </c>
      <c r="B75">
        <v>30</v>
      </c>
      <c r="C75" t="s">
        <v>901</v>
      </c>
      <c r="E75" s="4">
        <f>SUM($F$9:G74)+0.1</f>
        <v>149.1</v>
      </c>
      <c r="F75" s="4"/>
    </row>
    <row r="76" spans="1:6" x14ac:dyDescent="0.35">
      <c r="A76" s="1" t="s">
        <v>728</v>
      </c>
      <c r="B76">
        <v>30</v>
      </c>
      <c r="C76">
        <v>1</v>
      </c>
      <c r="E76" s="4">
        <f>SUM($F$9:G75)+0.1</f>
        <v>149.1</v>
      </c>
      <c r="F76" s="4"/>
    </row>
    <row r="77" spans="1:6" x14ac:dyDescent="0.35">
      <c r="A77" s="1" t="s">
        <v>173</v>
      </c>
      <c r="B77">
        <v>60</v>
      </c>
      <c r="E77" s="4">
        <f>SUM($F$9:G76)+0.1</f>
        <v>149.1</v>
      </c>
      <c r="F77" s="4"/>
    </row>
    <row r="78" spans="1:6" x14ac:dyDescent="0.35">
      <c r="A78" s="1" t="s">
        <v>792</v>
      </c>
      <c r="B78">
        <v>60</v>
      </c>
      <c r="E78" s="4">
        <f>SUM($F$9:G77)+0.1</f>
        <v>149.1</v>
      </c>
      <c r="F78" s="4"/>
    </row>
    <row r="79" spans="1:6" x14ac:dyDescent="0.35">
      <c r="A79" s="1" t="s">
        <v>232</v>
      </c>
      <c r="B79">
        <v>60</v>
      </c>
      <c r="C79" t="s">
        <v>900</v>
      </c>
      <c r="E79" s="4">
        <f>SUM($F$9:G78)+0.1</f>
        <v>149.1</v>
      </c>
      <c r="F79" s="4"/>
    </row>
    <row r="80" spans="1:6" x14ac:dyDescent="0.35">
      <c r="A80" s="1" t="s">
        <v>233</v>
      </c>
      <c r="B80">
        <v>30</v>
      </c>
      <c r="E80" s="4">
        <f>SUM($F$9:G79)+0.1</f>
        <v>149.1</v>
      </c>
      <c r="F80" s="4"/>
    </row>
    <row r="81" spans="1:6" x14ac:dyDescent="0.35">
      <c r="A81" s="1" t="s">
        <v>13</v>
      </c>
      <c r="B81">
        <v>60</v>
      </c>
      <c r="C81" t="s">
        <v>901</v>
      </c>
      <c r="E81" s="4">
        <f>SUM($F$9:G80)+0.1</f>
        <v>149.1</v>
      </c>
      <c r="F81" s="4"/>
    </row>
    <row r="82" spans="1:6" x14ac:dyDescent="0.35">
      <c r="A82" s="1" t="s">
        <v>666</v>
      </c>
      <c r="B82">
        <v>60</v>
      </c>
      <c r="E82" s="4">
        <f>SUM($F$9:G81)+0.1</f>
        <v>149.1</v>
      </c>
      <c r="F82" s="4">
        <v>1</v>
      </c>
    </row>
    <row r="83" spans="1:6" x14ac:dyDescent="0.35">
      <c r="A83" s="1" t="s">
        <v>842</v>
      </c>
      <c r="B83">
        <v>30</v>
      </c>
      <c r="C83" t="s">
        <v>903</v>
      </c>
      <c r="E83" s="4">
        <f>SUM($F$9:G82)+0.1</f>
        <v>150.1</v>
      </c>
      <c r="F83" s="4"/>
    </row>
    <row r="84" spans="1:6" x14ac:dyDescent="0.35">
      <c r="A84" s="1" t="s">
        <v>843</v>
      </c>
      <c r="B84">
        <v>30</v>
      </c>
      <c r="E84" s="4">
        <f>SUM($F$9:G83)+0.1</f>
        <v>150.1</v>
      </c>
      <c r="F84" s="4"/>
    </row>
    <row r="85" spans="1:6" x14ac:dyDescent="0.35">
      <c r="A85" s="1" t="s">
        <v>469</v>
      </c>
      <c r="B85">
        <v>30</v>
      </c>
      <c r="E85" s="4">
        <f>SUM($F$9:G84)+0.1</f>
        <v>150.1</v>
      </c>
      <c r="F85" s="4"/>
    </row>
    <row r="86" spans="1:6" x14ac:dyDescent="0.35">
      <c r="A86" s="1" t="s">
        <v>14</v>
      </c>
      <c r="B86">
        <v>60</v>
      </c>
      <c r="E86" s="4">
        <f>SUM($F$9:G85)+0.1</f>
        <v>150.1</v>
      </c>
      <c r="F86" s="4">
        <v>5</v>
      </c>
    </row>
    <row r="87" spans="1:6" x14ac:dyDescent="0.35">
      <c r="A87" s="1" t="s">
        <v>15</v>
      </c>
      <c r="E87" s="4">
        <f>SUM($F$9:G86)+0.1</f>
        <v>155.1</v>
      </c>
      <c r="F87" s="4"/>
    </row>
    <row r="88" spans="1:6" x14ac:dyDescent="0.35">
      <c r="A88" s="1" t="s">
        <v>16</v>
      </c>
      <c r="B88">
        <v>60</v>
      </c>
      <c r="C88" t="s">
        <v>900</v>
      </c>
      <c r="E88" s="4">
        <f>SUM($F$9:G87)+0.1</f>
        <v>155.1</v>
      </c>
      <c r="F88" s="4"/>
    </row>
    <row r="89" spans="1:6" x14ac:dyDescent="0.35">
      <c r="A89" s="1" t="s">
        <v>234</v>
      </c>
      <c r="B89">
        <v>30</v>
      </c>
      <c r="E89" s="4">
        <f>SUM($F$9:G88)+0.1</f>
        <v>155.1</v>
      </c>
      <c r="F89" s="4"/>
    </row>
    <row r="90" spans="1:6" x14ac:dyDescent="0.35">
      <c r="A90" s="1" t="s">
        <v>235</v>
      </c>
      <c r="B90">
        <v>60</v>
      </c>
      <c r="C90" t="s">
        <v>901</v>
      </c>
      <c r="E90" s="4">
        <f>SUM($F$9:G89)+0.1</f>
        <v>155.1</v>
      </c>
      <c r="F90" s="4"/>
    </row>
    <row r="91" spans="1:6" x14ac:dyDescent="0.35">
      <c r="A91" s="1" t="s">
        <v>200</v>
      </c>
      <c r="B91">
        <v>60</v>
      </c>
      <c r="D91" t="s">
        <v>904</v>
      </c>
      <c r="E91" s="4">
        <f>SUM($F$9:G90)+0.1</f>
        <v>155.1</v>
      </c>
      <c r="F91" s="4"/>
    </row>
    <row r="92" spans="1:6" x14ac:dyDescent="0.35">
      <c r="A92" s="1" t="s">
        <v>555</v>
      </c>
      <c r="B92">
        <v>30</v>
      </c>
      <c r="E92" s="4">
        <f>SUM($F$9:G91)+0.1</f>
        <v>155.1</v>
      </c>
      <c r="F92" s="4"/>
    </row>
    <row r="93" spans="1:6" x14ac:dyDescent="0.35">
      <c r="A93" s="1" t="s">
        <v>591</v>
      </c>
      <c r="B93">
        <v>30</v>
      </c>
      <c r="E93" s="4">
        <f>SUM($F$9:G92)+0.1</f>
        <v>155.1</v>
      </c>
      <c r="F93" s="4"/>
    </row>
    <row r="94" spans="1:6" x14ac:dyDescent="0.35">
      <c r="A94" s="1" t="s">
        <v>17</v>
      </c>
      <c r="B94">
        <v>60</v>
      </c>
      <c r="D94" t="s">
        <v>27</v>
      </c>
      <c r="E94" s="4">
        <f>SUM($F$9:G93)+0.1</f>
        <v>155.1</v>
      </c>
      <c r="F94" s="4"/>
    </row>
    <row r="95" spans="1:6" x14ac:dyDescent="0.35">
      <c r="A95" s="1" t="s">
        <v>18</v>
      </c>
      <c r="B95">
        <v>30</v>
      </c>
      <c r="E95" s="4">
        <f>SUM($F$9:G94)+0.1</f>
        <v>155.1</v>
      </c>
      <c r="F95" s="4"/>
    </row>
    <row r="96" spans="1:6" x14ac:dyDescent="0.35">
      <c r="A96" s="1" t="s">
        <v>829</v>
      </c>
      <c r="B96">
        <v>60</v>
      </c>
      <c r="C96" t="s">
        <v>900</v>
      </c>
      <c r="E96" s="4">
        <f>SUM($F$9:G95)+0.1</f>
        <v>155.1</v>
      </c>
      <c r="F96" s="4"/>
    </row>
    <row r="97" spans="1:6" x14ac:dyDescent="0.35">
      <c r="A97" s="1" t="s">
        <v>470</v>
      </c>
      <c r="B97">
        <v>60</v>
      </c>
      <c r="E97" s="4">
        <f>SUM($F$9:G96)+0.1</f>
        <v>155.1</v>
      </c>
      <c r="F97" s="4"/>
    </row>
    <row r="98" spans="1:6" x14ac:dyDescent="0.35">
      <c r="A98" s="1" t="s">
        <v>592</v>
      </c>
      <c r="B98">
        <v>60</v>
      </c>
      <c r="E98" s="4">
        <f>SUM($F$9:G97)+0.1</f>
        <v>155.1</v>
      </c>
      <c r="F98" s="4"/>
    </row>
    <row r="99" spans="1:6" x14ac:dyDescent="0.35">
      <c r="A99" s="1" t="s">
        <v>793</v>
      </c>
      <c r="B99">
        <v>60</v>
      </c>
      <c r="C99" t="s">
        <v>901</v>
      </c>
      <c r="E99" s="4">
        <f>SUM($F$9:G98)+0.1</f>
        <v>155.1</v>
      </c>
      <c r="F99" s="4"/>
    </row>
    <row r="100" spans="1:6" x14ac:dyDescent="0.35">
      <c r="A100" s="1" t="s">
        <v>471</v>
      </c>
      <c r="B100">
        <v>60</v>
      </c>
      <c r="E100" s="4">
        <f>SUM($F$9:G99)+0.1</f>
        <v>155.1</v>
      </c>
      <c r="F100" s="4"/>
    </row>
    <row r="101" spans="1:6" x14ac:dyDescent="0.35">
      <c r="A101" s="1" t="s">
        <v>19</v>
      </c>
      <c r="E101" s="4">
        <f>SUM($F$9:G100)+0.1</f>
        <v>155.1</v>
      </c>
      <c r="F101" s="4"/>
    </row>
    <row r="102" spans="1:6" x14ac:dyDescent="0.35">
      <c r="A102" s="1" t="s">
        <v>236</v>
      </c>
      <c r="B102">
        <v>60</v>
      </c>
      <c r="C102" t="s">
        <v>903</v>
      </c>
      <c r="E102" s="4">
        <f>SUM($F$9:G101)+0.1</f>
        <v>155.1</v>
      </c>
      <c r="F102" s="4"/>
    </row>
    <row r="103" spans="1:6" x14ac:dyDescent="0.35">
      <c r="A103" s="1" t="s">
        <v>1837</v>
      </c>
      <c r="E103" s="4">
        <f>SUM($F$9:G102)+0.1</f>
        <v>155.1</v>
      </c>
      <c r="F103" s="4"/>
    </row>
    <row r="104" spans="1:6" x14ac:dyDescent="0.35">
      <c r="A104" s="1" t="s">
        <v>20</v>
      </c>
      <c r="B104">
        <v>60</v>
      </c>
      <c r="E104" s="4">
        <f>SUM($F$9:G103)+0.1</f>
        <v>155.1</v>
      </c>
      <c r="F104" s="4"/>
    </row>
    <row r="105" spans="1:6" x14ac:dyDescent="0.35">
      <c r="A105" s="1" t="s">
        <v>472</v>
      </c>
      <c r="B105">
        <v>30</v>
      </c>
      <c r="E105" s="4">
        <f>SUM($F$9:G104)+0.1</f>
        <v>155.1</v>
      </c>
      <c r="F105" s="4"/>
    </row>
    <row r="106" spans="1:6" x14ac:dyDescent="0.35">
      <c r="A106" s="1" t="s">
        <v>21</v>
      </c>
      <c r="B106">
        <v>60</v>
      </c>
      <c r="E106" s="4">
        <f>SUM($F$9:G105)+0.1</f>
        <v>155.1</v>
      </c>
      <c r="F106" s="4">
        <v>4</v>
      </c>
    </row>
    <row r="107" spans="1:6" x14ac:dyDescent="0.35">
      <c r="A107" s="1" t="s">
        <v>215</v>
      </c>
      <c r="B107">
        <v>30</v>
      </c>
      <c r="E107" s="4">
        <f>SUM($F$9:G106)+0.1</f>
        <v>159.1</v>
      </c>
      <c r="F107" s="4">
        <v>1</v>
      </c>
    </row>
    <row r="108" spans="1:6" x14ac:dyDescent="0.35">
      <c r="A108" s="1" t="s">
        <v>22</v>
      </c>
      <c r="B108">
        <v>60</v>
      </c>
      <c r="E108" s="4">
        <f>SUM($F$9:G107)+0.1</f>
        <v>160.1</v>
      </c>
      <c r="F108" s="4">
        <v>5</v>
      </c>
    </row>
    <row r="109" spans="1:6" x14ac:dyDescent="0.35">
      <c r="A109" s="1" t="s">
        <v>23</v>
      </c>
      <c r="B109">
        <v>30</v>
      </c>
      <c r="E109" s="4">
        <f>SUM($F$9:G108)+0.1</f>
        <v>165.1</v>
      </c>
      <c r="F109" s="4"/>
    </row>
    <row r="110" spans="1:6" x14ac:dyDescent="0.35">
      <c r="A110" s="1" t="s">
        <v>237</v>
      </c>
      <c r="B110">
        <v>60</v>
      </c>
      <c r="E110" s="4">
        <f>SUM($F$9:G109)+0.1</f>
        <v>165.1</v>
      </c>
      <c r="F110" s="4"/>
    </row>
    <row r="111" spans="1:6" x14ac:dyDescent="0.35">
      <c r="A111" s="1" t="s">
        <v>238</v>
      </c>
      <c r="B111">
        <v>60</v>
      </c>
      <c r="C111">
        <v>1</v>
      </c>
      <c r="E111" s="4">
        <f>SUM($F$9:G110)+0.1</f>
        <v>165.1</v>
      </c>
      <c r="F111" s="4"/>
    </row>
    <row r="112" spans="1:6" x14ac:dyDescent="0.35">
      <c r="A112" s="1" t="s">
        <v>239</v>
      </c>
      <c r="B112">
        <v>30</v>
      </c>
      <c r="E112" s="4">
        <f>SUM($F$9:G111)+0.1</f>
        <v>165.1</v>
      </c>
      <c r="F112" s="4"/>
    </row>
    <row r="113" spans="1:6" x14ac:dyDescent="0.35">
      <c r="A113" s="1" t="s">
        <v>240</v>
      </c>
      <c r="B113">
        <v>30</v>
      </c>
      <c r="E113" s="4">
        <f>SUM($F$9:G112)+0.1</f>
        <v>165.1</v>
      </c>
      <c r="F113" s="4"/>
    </row>
    <row r="114" spans="1:6" x14ac:dyDescent="0.35">
      <c r="A114" s="1" t="s">
        <v>24</v>
      </c>
      <c r="B114">
        <v>60</v>
      </c>
      <c r="E114" s="4">
        <f>SUM($F$9:G113)+0.1</f>
        <v>165.1</v>
      </c>
      <c r="F114" s="4">
        <v>1</v>
      </c>
    </row>
    <row r="115" spans="1:6" x14ac:dyDescent="0.35">
      <c r="A115" s="1" t="s">
        <v>794</v>
      </c>
      <c r="B115">
        <v>60</v>
      </c>
      <c r="C115" t="s">
        <v>900</v>
      </c>
      <c r="E115" s="4">
        <f>SUM($F$9:G114)+0.1</f>
        <v>166.1</v>
      </c>
      <c r="F115" s="4"/>
    </row>
    <row r="116" spans="1:6" x14ac:dyDescent="0.35">
      <c r="A116" s="1" t="s">
        <v>667</v>
      </c>
      <c r="B116">
        <v>30</v>
      </c>
      <c r="E116" s="4">
        <f>SUM($F$9:G115)+0.1</f>
        <v>166.1</v>
      </c>
      <c r="F116" s="4"/>
    </row>
    <row r="117" spans="1:6" x14ac:dyDescent="0.35">
      <c r="A117" s="1" t="s">
        <v>593</v>
      </c>
      <c r="B117">
        <v>60</v>
      </c>
      <c r="C117" t="s">
        <v>900</v>
      </c>
      <c r="E117" s="4">
        <f>SUM($F$9:G116)+0.1</f>
        <v>166.1</v>
      </c>
      <c r="F117" s="4"/>
    </row>
    <row r="118" spans="1:6" x14ac:dyDescent="0.35">
      <c r="A118" s="1" t="s">
        <v>594</v>
      </c>
      <c r="B118">
        <v>60</v>
      </c>
      <c r="E118" s="4">
        <f>SUM($F$9:G117)+0.1</f>
        <v>166.1</v>
      </c>
      <c r="F118" s="4"/>
    </row>
    <row r="119" spans="1:6" x14ac:dyDescent="0.35">
      <c r="A119" s="1" t="s">
        <v>473</v>
      </c>
      <c r="B119">
        <v>60</v>
      </c>
      <c r="E119" s="4">
        <f>SUM($F$9:G118)+0.1</f>
        <v>166.1</v>
      </c>
      <c r="F119" s="4"/>
    </row>
    <row r="120" spans="1:6" x14ac:dyDescent="0.35">
      <c r="A120" s="1" t="s">
        <v>25</v>
      </c>
      <c r="B120">
        <v>30</v>
      </c>
      <c r="E120" s="4">
        <f>SUM($F$9:G119)+0.1</f>
        <v>166.1</v>
      </c>
      <c r="F120" s="4"/>
    </row>
    <row r="121" spans="1:6" x14ac:dyDescent="0.35">
      <c r="A121" s="1" t="s">
        <v>26</v>
      </c>
      <c r="B121">
        <v>60</v>
      </c>
      <c r="E121" s="4">
        <f>SUM($F$9:G120)+0.1</f>
        <v>166.1</v>
      </c>
      <c r="F121" s="4">
        <v>4</v>
      </c>
    </row>
    <row r="122" spans="1:6" x14ac:dyDescent="0.35">
      <c r="A122" s="1" t="s">
        <v>241</v>
      </c>
      <c r="B122">
        <v>60</v>
      </c>
      <c r="C122" t="s">
        <v>901</v>
      </c>
      <c r="E122" s="4">
        <f>SUM($F$9:G121)+0.1</f>
        <v>170.1</v>
      </c>
      <c r="F122" s="4"/>
    </row>
    <row r="123" spans="1:6" x14ac:dyDescent="0.35">
      <c r="A123" s="1" t="s">
        <v>844</v>
      </c>
      <c r="B123">
        <v>60</v>
      </c>
      <c r="C123">
        <v>1</v>
      </c>
      <c r="E123" s="4">
        <f>SUM($F$9:G122)+0.1</f>
        <v>170.1</v>
      </c>
      <c r="F123" s="4"/>
    </row>
    <row r="124" spans="1:6" x14ac:dyDescent="0.35">
      <c r="A124" s="1" t="s">
        <v>27</v>
      </c>
      <c r="B124">
        <v>60</v>
      </c>
      <c r="E124" s="4">
        <f>SUM($F$9:G123)+0.1</f>
        <v>170.1</v>
      </c>
      <c r="F124" s="4">
        <v>100</v>
      </c>
    </row>
    <row r="125" spans="1:6" x14ac:dyDescent="0.35">
      <c r="A125" s="1" t="s">
        <v>242</v>
      </c>
      <c r="B125">
        <v>60</v>
      </c>
      <c r="E125" s="4">
        <f>SUM($F$9:G124)+0.1</f>
        <v>270.10000000000002</v>
      </c>
      <c r="F125" s="4"/>
    </row>
    <row r="126" spans="1:6" x14ac:dyDescent="0.35">
      <c r="A126" s="1" t="s">
        <v>1838</v>
      </c>
      <c r="E126" s="4">
        <f>SUM($F$9:G125)+0.1</f>
        <v>270.10000000000002</v>
      </c>
      <c r="F126" s="4"/>
    </row>
    <row r="127" spans="1:6" x14ac:dyDescent="0.35">
      <c r="A127" s="1" t="s">
        <v>474</v>
      </c>
      <c r="B127">
        <v>30</v>
      </c>
      <c r="E127" s="4">
        <f>SUM($F$9:G126)+0.1</f>
        <v>270.10000000000002</v>
      </c>
      <c r="F127" s="4">
        <v>5</v>
      </c>
    </row>
    <row r="128" spans="1:6" x14ac:dyDescent="0.35">
      <c r="A128" s="1" t="s">
        <v>243</v>
      </c>
      <c r="B128">
        <v>60</v>
      </c>
      <c r="E128" s="4">
        <f>SUM($F$9:G127)+0.1</f>
        <v>275.10000000000002</v>
      </c>
      <c r="F128" s="4"/>
    </row>
    <row r="129" spans="1:6" x14ac:dyDescent="0.35">
      <c r="A129" s="1" t="s">
        <v>595</v>
      </c>
      <c r="B129">
        <v>30</v>
      </c>
      <c r="E129" s="4">
        <f>SUM($F$9:G128)+0.1</f>
        <v>275.10000000000002</v>
      </c>
      <c r="F129" s="4">
        <v>25</v>
      </c>
    </row>
    <row r="130" spans="1:6" x14ac:dyDescent="0.35">
      <c r="A130" s="1" t="s">
        <v>28</v>
      </c>
      <c r="B130">
        <v>30</v>
      </c>
      <c r="E130" s="4">
        <f>SUM($F$9:G129)+0.1</f>
        <v>300.10000000000002</v>
      </c>
      <c r="F130" s="4">
        <v>5</v>
      </c>
    </row>
    <row r="131" spans="1:6" x14ac:dyDescent="0.35">
      <c r="A131" s="1" t="s">
        <v>189</v>
      </c>
      <c r="B131">
        <v>60</v>
      </c>
      <c r="E131" s="4">
        <f>SUM($F$9:G130)+0.1</f>
        <v>305.10000000000002</v>
      </c>
      <c r="F131" s="4"/>
    </row>
    <row r="132" spans="1:6" x14ac:dyDescent="0.35">
      <c r="A132" s="1" t="s">
        <v>596</v>
      </c>
      <c r="B132">
        <v>60</v>
      </c>
      <c r="E132" s="4">
        <f>SUM($F$9:G131)+0.1</f>
        <v>305.10000000000002</v>
      </c>
      <c r="F132" s="4"/>
    </row>
    <row r="133" spans="1:6" x14ac:dyDescent="0.35">
      <c r="A133" s="1" t="s">
        <v>845</v>
      </c>
      <c r="B133">
        <v>30</v>
      </c>
      <c r="C133">
        <v>1</v>
      </c>
      <c r="E133" s="4">
        <f>SUM($F$9:G132)+0.1</f>
        <v>305.10000000000002</v>
      </c>
      <c r="F133" s="4"/>
    </row>
    <row r="134" spans="1:6" x14ac:dyDescent="0.35">
      <c r="A134" s="1" t="s">
        <v>29</v>
      </c>
      <c r="B134">
        <v>60</v>
      </c>
      <c r="E134" s="4">
        <f>SUM($F$9:G133)+0.1</f>
        <v>305.10000000000002</v>
      </c>
      <c r="F134" s="4">
        <v>1</v>
      </c>
    </row>
    <row r="135" spans="1:6" x14ac:dyDescent="0.35">
      <c r="A135" s="1" t="s">
        <v>244</v>
      </c>
      <c r="B135">
        <v>60</v>
      </c>
      <c r="E135" s="4">
        <f>SUM($F$9:G134)+0.1</f>
        <v>306.10000000000002</v>
      </c>
      <c r="F135" s="4"/>
    </row>
    <row r="136" spans="1:6" x14ac:dyDescent="0.35">
      <c r="A136" s="1" t="s">
        <v>864</v>
      </c>
      <c r="B136">
        <v>60</v>
      </c>
      <c r="C136">
        <v>1</v>
      </c>
      <c r="E136" s="4">
        <f>SUM($F$9:G135)+0.1</f>
        <v>306.10000000000002</v>
      </c>
      <c r="F136" s="4"/>
    </row>
    <row r="137" spans="1:6" x14ac:dyDescent="0.35">
      <c r="A137" s="1" t="s">
        <v>475</v>
      </c>
      <c r="B137">
        <v>60</v>
      </c>
      <c r="C137" t="s">
        <v>901</v>
      </c>
      <c r="E137" s="4">
        <f>SUM($F$9:G136)+0.1</f>
        <v>306.10000000000002</v>
      </c>
      <c r="F137" s="4"/>
    </row>
    <row r="138" spans="1:6" x14ac:dyDescent="0.35">
      <c r="A138" s="1" t="s">
        <v>476</v>
      </c>
      <c r="B138">
        <v>60</v>
      </c>
      <c r="E138" s="4">
        <f>SUM($F$9:G137)+0.1</f>
        <v>306.10000000000002</v>
      </c>
      <c r="F138" s="4"/>
    </row>
    <row r="139" spans="1:6" x14ac:dyDescent="0.35">
      <c r="A139" s="1" t="s">
        <v>597</v>
      </c>
      <c r="B139">
        <v>60</v>
      </c>
      <c r="E139" s="4">
        <f>SUM($F$9:G138)+0.1</f>
        <v>306.10000000000002</v>
      </c>
      <c r="F139" s="4"/>
    </row>
    <row r="140" spans="1:6" x14ac:dyDescent="0.35">
      <c r="A140" s="1" t="s">
        <v>668</v>
      </c>
      <c r="B140">
        <v>60</v>
      </c>
      <c r="E140" s="4">
        <f>SUM($F$9:G139)+0.1</f>
        <v>306.10000000000002</v>
      </c>
      <c r="F140" s="4"/>
    </row>
    <row r="141" spans="1:6" x14ac:dyDescent="0.35">
      <c r="A141" s="1" t="s">
        <v>478</v>
      </c>
      <c r="B141">
        <v>60</v>
      </c>
      <c r="C141" t="s">
        <v>900</v>
      </c>
      <c r="E141" s="4">
        <f>SUM($F$9:G140)+0.1</f>
        <v>306.10000000000002</v>
      </c>
      <c r="F141" s="4"/>
    </row>
    <row r="142" spans="1:6" x14ac:dyDescent="0.35">
      <c r="A142" s="1" t="s">
        <v>477</v>
      </c>
      <c r="B142">
        <v>60</v>
      </c>
      <c r="E142" s="4">
        <f>SUM($F$9:G141)+0.1</f>
        <v>306.10000000000002</v>
      </c>
      <c r="F142" s="4"/>
    </row>
    <row r="143" spans="1:6" x14ac:dyDescent="0.35">
      <c r="A143" s="1" t="s">
        <v>30</v>
      </c>
      <c r="B143">
        <v>60</v>
      </c>
      <c r="E143" s="4">
        <f>SUM($F$9:G142)+0.1</f>
        <v>306.10000000000002</v>
      </c>
      <c r="F143" s="4"/>
    </row>
    <row r="144" spans="1:6" x14ac:dyDescent="0.35">
      <c r="A144" s="1" t="s">
        <v>598</v>
      </c>
      <c r="B144">
        <v>30</v>
      </c>
      <c r="E144" s="4">
        <f>SUM($F$9:G143)+0.1</f>
        <v>306.10000000000002</v>
      </c>
      <c r="F144" s="4"/>
    </row>
    <row r="145" spans="1:6" x14ac:dyDescent="0.35">
      <c r="A145" s="1" t="s">
        <v>31</v>
      </c>
      <c r="B145">
        <v>60</v>
      </c>
      <c r="C145" t="s">
        <v>901</v>
      </c>
      <c r="E145" s="4">
        <f>SUM($F$9:G144)+0.1</f>
        <v>306.10000000000002</v>
      </c>
      <c r="F145" s="4"/>
    </row>
    <row r="146" spans="1:6" x14ac:dyDescent="0.35">
      <c r="A146" s="1" t="s">
        <v>1829</v>
      </c>
      <c r="E146" s="4">
        <f>SUM($F$9:G145)+0.1</f>
        <v>306.10000000000002</v>
      </c>
      <c r="F146" s="4"/>
    </row>
    <row r="147" spans="1:6" x14ac:dyDescent="0.35">
      <c r="A147" s="1" t="s">
        <v>1855</v>
      </c>
      <c r="E147" s="4">
        <f>SUM($F$9:G146)+0.1</f>
        <v>306.10000000000002</v>
      </c>
      <c r="F147" s="4">
        <v>7</v>
      </c>
    </row>
    <row r="148" spans="1:6" x14ac:dyDescent="0.35">
      <c r="A148" s="1" t="s">
        <v>387</v>
      </c>
      <c r="B148">
        <v>30</v>
      </c>
      <c r="C148" t="s">
        <v>901</v>
      </c>
      <c r="E148" s="4">
        <f>SUM($F$9:G147)+0.1</f>
        <v>313.10000000000002</v>
      </c>
      <c r="F148" s="4"/>
    </row>
    <row r="149" spans="1:6" x14ac:dyDescent="0.35">
      <c r="A149" s="1" t="s">
        <v>479</v>
      </c>
      <c r="B149">
        <v>60</v>
      </c>
      <c r="E149" s="4">
        <f>SUM($F$9:G148)+0.1</f>
        <v>313.10000000000002</v>
      </c>
      <c r="F149" s="4"/>
    </row>
    <row r="150" spans="1:6" x14ac:dyDescent="0.35">
      <c r="A150" s="1" t="s">
        <v>32</v>
      </c>
      <c r="B150">
        <v>30</v>
      </c>
      <c r="C150" t="s">
        <v>903</v>
      </c>
      <c r="E150" s="4">
        <f>SUM($F$9:G149)+0.1</f>
        <v>313.10000000000002</v>
      </c>
      <c r="F150" s="4"/>
    </row>
    <row r="151" spans="1:6" x14ac:dyDescent="0.35">
      <c r="A151" s="1" t="s">
        <v>33</v>
      </c>
      <c r="B151">
        <v>60</v>
      </c>
      <c r="E151" s="4">
        <f>SUM($F$9:G150)+0.1</f>
        <v>313.10000000000002</v>
      </c>
      <c r="F151" s="4"/>
    </row>
    <row r="152" spans="1:6" x14ac:dyDescent="0.35">
      <c r="A152" s="1" t="s">
        <v>245</v>
      </c>
      <c r="B152">
        <v>60</v>
      </c>
      <c r="E152" s="4">
        <f>SUM($F$9:G151)+0.1</f>
        <v>313.10000000000002</v>
      </c>
      <c r="F152" s="4"/>
    </row>
    <row r="153" spans="1:6" x14ac:dyDescent="0.35">
      <c r="A153" s="1" t="s">
        <v>731</v>
      </c>
      <c r="B153">
        <v>60</v>
      </c>
      <c r="E153" s="4">
        <f>SUM($F$9:G152)+0.1</f>
        <v>313.10000000000002</v>
      </c>
      <c r="F153" s="4"/>
    </row>
    <row r="154" spans="1:6" x14ac:dyDescent="0.35">
      <c r="A154" s="1" t="s">
        <v>246</v>
      </c>
      <c r="B154">
        <v>60</v>
      </c>
      <c r="C154" t="s">
        <v>901</v>
      </c>
      <c r="E154" s="4">
        <f>SUM($F$9:G153)+0.1</f>
        <v>313.10000000000002</v>
      </c>
      <c r="F154" s="4"/>
    </row>
    <row r="155" spans="1:6" x14ac:dyDescent="0.35">
      <c r="A155" s="1" t="s">
        <v>481</v>
      </c>
      <c r="B155">
        <v>60</v>
      </c>
      <c r="E155" s="4">
        <f>SUM($F$9:G154)+0.1</f>
        <v>313.10000000000002</v>
      </c>
      <c r="F155" s="4"/>
    </row>
    <row r="156" spans="1:6" x14ac:dyDescent="0.35">
      <c r="A156" s="1" t="s">
        <v>169</v>
      </c>
      <c r="B156">
        <v>30</v>
      </c>
      <c r="E156" s="4">
        <f>SUM($F$9:G155)+0.1</f>
        <v>313.10000000000002</v>
      </c>
      <c r="F156" s="4"/>
    </row>
    <row r="157" spans="1:6" x14ac:dyDescent="0.35">
      <c r="A157" s="1" t="s">
        <v>906</v>
      </c>
      <c r="B157">
        <v>60</v>
      </c>
      <c r="E157" s="4">
        <f>SUM($F$9:G156)+0.1</f>
        <v>313.10000000000002</v>
      </c>
      <c r="F157" s="4"/>
    </row>
    <row r="158" spans="1:6" x14ac:dyDescent="0.35">
      <c r="A158" s="1" t="s">
        <v>247</v>
      </c>
      <c r="B158">
        <v>60</v>
      </c>
      <c r="C158" t="s">
        <v>900</v>
      </c>
      <c r="E158" s="4">
        <f>SUM($F$9:G157)+0.1</f>
        <v>313.10000000000002</v>
      </c>
      <c r="F158" s="4"/>
    </row>
    <row r="159" spans="1:6" x14ac:dyDescent="0.35">
      <c r="A159" s="1" t="s">
        <v>248</v>
      </c>
      <c r="B159">
        <v>60</v>
      </c>
      <c r="C159" t="s">
        <v>901</v>
      </c>
      <c r="E159" s="4">
        <f>SUM($F$9:G158)+0.1</f>
        <v>313.10000000000002</v>
      </c>
      <c r="F159" s="4"/>
    </row>
    <row r="160" spans="1:6" x14ac:dyDescent="0.35">
      <c r="A160" s="1" t="s">
        <v>730</v>
      </c>
      <c r="B160">
        <v>30</v>
      </c>
      <c r="E160" s="4">
        <f>SUM($F$9:G159)+0.1</f>
        <v>313.10000000000002</v>
      </c>
      <c r="F160" s="4"/>
    </row>
    <row r="161" spans="1:6" x14ac:dyDescent="0.35">
      <c r="A161" s="1" t="s">
        <v>249</v>
      </c>
      <c r="B161">
        <v>30</v>
      </c>
      <c r="C161" t="s">
        <v>903</v>
      </c>
      <c r="E161" s="4">
        <f>SUM($F$9:G160)+0.1</f>
        <v>313.10000000000002</v>
      </c>
      <c r="F161" s="4"/>
    </row>
    <row r="162" spans="1:6" x14ac:dyDescent="0.35">
      <c r="A162" s="1" t="s">
        <v>795</v>
      </c>
      <c r="B162">
        <v>30</v>
      </c>
      <c r="C162" t="s">
        <v>903</v>
      </c>
      <c r="E162" s="4">
        <f>SUM($F$9:G161)+0.1</f>
        <v>313.10000000000002</v>
      </c>
      <c r="F162" s="4"/>
    </row>
    <row r="163" spans="1:6" x14ac:dyDescent="0.35">
      <c r="A163" s="1" t="s">
        <v>831</v>
      </c>
      <c r="B163">
        <v>30</v>
      </c>
      <c r="E163" s="4">
        <f>SUM($F$9:G162)+0.1</f>
        <v>313.10000000000002</v>
      </c>
      <c r="F163" s="4"/>
    </row>
    <row r="164" spans="1:6" x14ac:dyDescent="0.35">
      <c r="A164" s="1" t="s">
        <v>388</v>
      </c>
      <c r="B164">
        <v>60</v>
      </c>
      <c r="C164" t="s">
        <v>900</v>
      </c>
      <c r="E164" s="4">
        <f>SUM($F$9:G163)+0.1</f>
        <v>313.10000000000002</v>
      </c>
      <c r="F164" s="4"/>
    </row>
    <row r="165" spans="1:6" x14ac:dyDescent="0.35">
      <c r="A165" s="1" t="s">
        <v>34</v>
      </c>
      <c r="B165">
        <v>60</v>
      </c>
      <c r="C165">
        <v>1</v>
      </c>
      <c r="E165" s="4">
        <f>SUM($F$9:G164)+0.1</f>
        <v>313.10000000000002</v>
      </c>
      <c r="F165" s="4"/>
    </row>
    <row r="166" spans="1:6" x14ac:dyDescent="0.35">
      <c r="A166" s="1" t="s">
        <v>1917</v>
      </c>
      <c r="E166" s="4">
        <f>SUM($F$9:G165)+0.1</f>
        <v>313.10000000000002</v>
      </c>
      <c r="F166" s="4"/>
    </row>
    <row r="167" spans="1:6" x14ac:dyDescent="0.35">
      <c r="A167" s="1" t="s">
        <v>250</v>
      </c>
      <c r="B167">
        <v>60</v>
      </c>
      <c r="C167" t="s">
        <v>900</v>
      </c>
      <c r="E167" s="4">
        <f>SUM($F$9:G166)+0.1</f>
        <v>313.10000000000002</v>
      </c>
      <c r="F167" s="4"/>
    </row>
    <row r="168" spans="1:6" x14ac:dyDescent="0.35">
      <c r="A168" s="1" t="s">
        <v>251</v>
      </c>
      <c r="B168">
        <v>60</v>
      </c>
      <c r="C168" t="s">
        <v>900</v>
      </c>
      <c r="E168" s="4">
        <f>SUM($F$9:G167)+0.1</f>
        <v>313.10000000000002</v>
      </c>
      <c r="F168" s="4"/>
    </row>
    <row r="169" spans="1:6" x14ac:dyDescent="0.35">
      <c r="A169" s="1" t="s">
        <v>874</v>
      </c>
      <c r="B169">
        <v>30</v>
      </c>
      <c r="E169" s="4">
        <f>SUM($F$9:G168)+0.1</f>
        <v>313.10000000000002</v>
      </c>
      <c r="F169" s="4"/>
    </row>
    <row r="170" spans="1:6" x14ac:dyDescent="0.35">
      <c r="A170" s="1" t="s">
        <v>482</v>
      </c>
      <c r="B170">
        <v>30</v>
      </c>
      <c r="E170" s="4">
        <f>SUM($F$9:G169)+0.1</f>
        <v>313.10000000000002</v>
      </c>
      <c r="F170" s="4"/>
    </row>
    <row r="171" spans="1:6" x14ac:dyDescent="0.35">
      <c r="A171" s="1" t="s">
        <v>846</v>
      </c>
      <c r="B171">
        <v>60</v>
      </c>
      <c r="E171" s="4">
        <f>SUM($F$9:G170)+0.1</f>
        <v>313.10000000000002</v>
      </c>
      <c r="F171" s="4"/>
    </row>
    <row r="172" spans="1:6" x14ac:dyDescent="0.35">
      <c r="A172" s="1" t="s">
        <v>177</v>
      </c>
      <c r="B172">
        <v>60</v>
      </c>
      <c r="C172" t="s">
        <v>900</v>
      </c>
      <c r="E172" s="4">
        <f>SUM($F$9:G171)+0.1</f>
        <v>313.10000000000002</v>
      </c>
      <c r="F172" s="4"/>
    </row>
    <row r="173" spans="1:6" x14ac:dyDescent="0.35">
      <c r="A173" s="1" t="s">
        <v>252</v>
      </c>
      <c r="B173">
        <v>30</v>
      </c>
      <c r="E173" s="4">
        <f>SUM($F$9:G172)+0.1</f>
        <v>313.10000000000002</v>
      </c>
      <c r="F173" s="4"/>
    </row>
    <row r="174" spans="1:6" x14ac:dyDescent="0.35">
      <c r="A174" s="1" t="s">
        <v>796</v>
      </c>
      <c r="B174">
        <v>30</v>
      </c>
      <c r="E174" s="4">
        <f>SUM($F$9:G173)+0.1</f>
        <v>313.10000000000002</v>
      </c>
      <c r="F174" s="4">
        <v>1</v>
      </c>
    </row>
    <row r="175" spans="1:6" x14ac:dyDescent="0.35">
      <c r="A175" s="1" t="s">
        <v>484</v>
      </c>
      <c r="B175">
        <v>60</v>
      </c>
      <c r="E175" s="4">
        <f>SUM($F$9:G174)+0.1</f>
        <v>314.10000000000002</v>
      </c>
      <c r="F175" s="4"/>
    </row>
    <row r="176" spans="1:6" x14ac:dyDescent="0.35">
      <c r="A176" s="1" t="s">
        <v>832</v>
      </c>
      <c r="B176">
        <v>60</v>
      </c>
      <c r="C176" t="s">
        <v>901</v>
      </c>
      <c r="E176" s="4">
        <f>SUM($F$9:G175)+0.1</f>
        <v>314.10000000000002</v>
      </c>
      <c r="F176" s="4"/>
    </row>
    <row r="177" spans="1:6" x14ac:dyDescent="0.35">
      <c r="A177" s="1" t="s">
        <v>389</v>
      </c>
      <c r="B177">
        <v>60</v>
      </c>
      <c r="C177" t="s">
        <v>903</v>
      </c>
      <c r="E177" s="4">
        <f>SUM($F$9:G176)+0.1</f>
        <v>314.10000000000002</v>
      </c>
      <c r="F177" s="4"/>
    </row>
    <row r="178" spans="1:6" x14ac:dyDescent="0.35">
      <c r="A178" s="1" t="s">
        <v>483</v>
      </c>
      <c r="B178">
        <v>60</v>
      </c>
      <c r="C178" t="s">
        <v>903</v>
      </c>
      <c r="E178" s="4">
        <f>SUM($F$9:G177)+0.1</f>
        <v>314.10000000000002</v>
      </c>
      <c r="F178" s="4"/>
    </row>
    <row r="179" spans="1:6" x14ac:dyDescent="0.35">
      <c r="A179" s="1" t="s">
        <v>35</v>
      </c>
      <c r="B179">
        <v>60</v>
      </c>
      <c r="E179" s="4">
        <f>SUM($F$9:G178)+0.1</f>
        <v>314.10000000000002</v>
      </c>
      <c r="F179" s="4"/>
    </row>
    <row r="180" spans="1:6" x14ac:dyDescent="0.35">
      <c r="A180" s="1" t="s">
        <v>390</v>
      </c>
      <c r="B180">
        <v>60</v>
      </c>
      <c r="C180" t="s">
        <v>900</v>
      </c>
      <c r="E180" s="4">
        <f>SUM($F$9:G179)+0.1</f>
        <v>314.10000000000002</v>
      </c>
      <c r="F180" s="4"/>
    </row>
    <row r="181" spans="1:6" x14ac:dyDescent="0.35">
      <c r="A181" s="1" t="s">
        <v>556</v>
      </c>
      <c r="B181">
        <v>60</v>
      </c>
      <c r="C181" t="s">
        <v>900</v>
      </c>
      <c r="E181" s="4">
        <f>SUM($F$9:G180)+0.1</f>
        <v>314.10000000000002</v>
      </c>
      <c r="F181" s="4"/>
    </row>
    <row r="182" spans="1:6" x14ac:dyDescent="0.35">
      <c r="A182" s="1" t="s">
        <v>915</v>
      </c>
      <c r="B182">
        <v>60</v>
      </c>
      <c r="E182" s="4">
        <f>SUM($F$9:G181)+0.1</f>
        <v>314.10000000000002</v>
      </c>
      <c r="F182" s="4">
        <v>4</v>
      </c>
    </row>
    <row r="183" spans="1:6" x14ac:dyDescent="0.35">
      <c r="A183" s="1" t="s">
        <v>253</v>
      </c>
      <c r="B183">
        <v>60</v>
      </c>
      <c r="C183" t="s">
        <v>901</v>
      </c>
      <c r="E183" s="4">
        <f>SUM($F$9:G182)+0.1</f>
        <v>318.10000000000002</v>
      </c>
      <c r="F183" s="4"/>
    </row>
    <row r="184" spans="1:6" x14ac:dyDescent="0.35">
      <c r="A184" s="1" t="s">
        <v>485</v>
      </c>
      <c r="B184">
        <v>60</v>
      </c>
      <c r="E184" s="4">
        <f>SUM($F$9:G183)+0.1</f>
        <v>318.10000000000002</v>
      </c>
      <c r="F184" s="4"/>
    </row>
    <row r="185" spans="1:6" x14ac:dyDescent="0.35">
      <c r="A185" s="1" t="s">
        <v>254</v>
      </c>
      <c r="B185">
        <v>60</v>
      </c>
      <c r="C185">
        <v>1</v>
      </c>
      <c r="E185" s="4">
        <f>SUM($F$9:G184)+0.1</f>
        <v>318.10000000000002</v>
      </c>
      <c r="F185" s="4"/>
    </row>
    <row r="186" spans="1:6" x14ac:dyDescent="0.35">
      <c r="A186" s="1" t="s">
        <v>777</v>
      </c>
      <c r="E186" s="4">
        <f>SUM($F$9:G185)+0.1</f>
        <v>318.10000000000002</v>
      </c>
      <c r="F186" s="4"/>
    </row>
    <row r="187" spans="1:6" x14ac:dyDescent="0.35">
      <c r="A187" s="1" t="s">
        <v>181</v>
      </c>
      <c r="B187">
        <v>60</v>
      </c>
      <c r="E187" s="4">
        <f>SUM($F$9:G186)+0.1</f>
        <v>318.10000000000002</v>
      </c>
      <c r="F187" s="4"/>
    </row>
    <row r="188" spans="1:6" x14ac:dyDescent="0.35">
      <c r="A188" s="1" t="s">
        <v>488</v>
      </c>
      <c r="B188">
        <v>60</v>
      </c>
      <c r="C188" t="s">
        <v>900</v>
      </c>
      <c r="E188" s="4">
        <f>SUM($F$9:G187)+0.1</f>
        <v>318.10000000000002</v>
      </c>
      <c r="F188" s="4"/>
    </row>
    <row r="189" spans="1:6" x14ac:dyDescent="0.35">
      <c r="A189" s="1" t="s">
        <v>487</v>
      </c>
      <c r="B189">
        <v>60</v>
      </c>
      <c r="C189" t="s">
        <v>900</v>
      </c>
      <c r="E189" s="4">
        <f>SUM($F$9:G188)+0.1</f>
        <v>318.10000000000002</v>
      </c>
      <c r="F189" s="4"/>
    </row>
    <row r="190" spans="1:6" x14ac:dyDescent="0.35">
      <c r="A190" s="1" t="s">
        <v>486</v>
      </c>
      <c r="B190">
        <v>60</v>
      </c>
      <c r="C190" t="s">
        <v>900</v>
      </c>
      <c r="E190" s="4">
        <f>SUM($F$9:G189)+0.1</f>
        <v>318.10000000000002</v>
      </c>
      <c r="F190" s="4"/>
    </row>
    <row r="191" spans="1:6" x14ac:dyDescent="0.35">
      <c r="A191" s="1" t="s">
        <v>489</v>
      </c>
      <c r="B191">
        <v>60</v>
      </c>
      <c r="E191" s="4">
        <f>SUM($F$9:G190)+0.1</f>
        <v>318.10000000000002</v>
      </c>
      <c r="F191" s="4"/>
    </row>
    <row r="192" spans="1:6" x14ac:dyDescent="0.35">
      <c r="A192" s="1" t="s">
        <v>490</v>
      </c>
      <c r="B192">
        <v>30</v>
      </c>
      <c r="E192" s="4">
        <f>SUM($F$9:G191)+0.1</f>
        <v>318.10000000000002</v>
      </c>
      <c r="F192" s="4"/>
    </row>
    <row r="193" spans="1:6" x14ac:dyDescent="0.35">
      <c r="A193" s="1" t="s">
        <v>1911</v>
      </c>
      <c r="E193" s="4">
        <f>SUM($F$9:G192)+0.1</f>
        <v>318.10000000000002</v>
      </c>
      <c r="F193" s="4">
        <v>1</v>
      </c>
    </row>
    <row r="194" spans="1:6" x14ac:dyDescent="0.35">
      <c r="A194" s="1" t="s">
        <v>36</v>
      </c>
      <c r="E194" s="4">
        <f>SUM($F$9:G193)+0.1</f>
        <v>319.10000000000002</v>
      </c>
      <c r="F194" s="4"/>
    </row>
    <row r="195" spans="1:6" x14ac:dyDescent="0.35">
      <c r="A195" s="1" t="s">
        <v>1834</v>
      </c>
      <c r="E195" s="4">
        <f>SUM($F$9:G194)+0.1</f>
        <v>319.10000000000002</v>
      </c>
      <c r="F195" s="4"/>
    </row>
    <row r="196" spans="1:6" x14ac:dyDescent="0.35">
      <c r="A196" s="1" t="s">
        <v>733</v>
      </c>
      <c r="B196">
        <v>60</v>
      </c>
      <c r="C196" t="s">
        <v>903</v>
      </c>
      <c r="E196" s="4">
        <f>SUM($F$9:G195)+0.1</f>
        <v>319.10000000000002</v>
      </c>
      <c r="F196" s="4"/>
    </row>
    <row r="197" spans="1:6" x14ac:dyDescent="0.35">
      <c r="A197" s="1" t="s">
        <v>37</v>
      </c>
      <c r="B197">
        <v>60</v>
      </c>
      <c r="E197" s="4">
        <f>SUM($F$9:G196)+0.1</f>
        <v>319.10000000000002</v>
      </c>
      <c r="F197" s="4"/>
    </row>
    <row r="198" spans="1:6" x14ac:dyDescent="0.35">
      <c r="A198" s="1" t="s">
        <v>255</v>
      </c>
      <c r="B198">
        <v>30</v>
      </c>
      <c r="E198" s="4">
        <f>SUM($F$9:G197)+0.1</f>
        <v>319.10000000000002</v>
      </c>
      <c r="F198" s="4"/>
    </row>
    <row r="199" spans="1:6" x14ac:dyDescent="0.35">
      <c r="A199" s="1" t="s">
        <v>171</v>
      </c>
      <c r="B199">
        <v>60</v>
      </c>
      <c r="E199" s="4">
        <f>SUM($F$9:G198)+0.1</f>
        <v>319.10000000000002</v>
      </c>
      <c r="F199" s="4"/>
    </row>
    <row r="200" spans="1:6" x14ac:dyDescent="0.35">
      <c r="A200" s="1" t="s">
        <v>391</v>
      </c>
      <c r="B200">
        <v>60</v>
      </c>
      <c r="C200">
        <v>1</v>
      </c>
      <c r="E200" s="4">
        <f>SUM($F$9:G199)+0.1</f>
        <v>319.10000000000002</v>
      </c>
      <c r="F200" s="4"/>
    </row>
    <row r="201" spans="1:6" x14ac:dyDescent="0.35">
      <c r="A201" s="1" t="s">
        <v>558</v>
      </c>
      <c r="B201">
        <v>60</v>
      </c>
      <c r="C201" t="s">
        <v>900</v>
      </c>
      <c r="E201" s="4">
        <f>SUM($F$9:G200)+0.1</f>
        <v>319.10000000000002</v>
      </c>
      <c r="F201" s="4"/>
    </row>
    <row r="202" spans="1:6" x14ac:dyDescent="0.35">
      <c r="A202" s="1" t="s">
        <v>392</v>
      </c>
      <c r="B202">
        <v>60</v>
      </c>
      <c r="C202" t="s">
        <v>900</v>
      </c>
      <c r="E202" s="4">
        <f>SUM($F$9:G201)+0.1</f>
        <v>319.10000000000002</v>
      </c>
      <c r="F202" s="4"/>
    </row>
    <row r="203" spans="1:6" x14ac:dyDescent="0.35">
      <c r="A203" s="1" t="s">
        <v>256</v>
      </c>
      <c r="B203">
        <v>30</v>
      </c>
      <c r="E203" s="4">
        <f>SUM($F$9:G202)+0.1</f>
        <v>319.10000000000002</v>
      </c>
      <c r="F203" s="4"/>
    </row>
    <row r="204" spans="1:6" x14ac:dyDescent="0.35">
      <c r="A204" s="1" t="s">
        <v>257</v>
      </c>
      <c r="B204">
        <v>30</v>
      </c>
      <c r="E204" s="4">
        <f>SUM($F$9:G203)+0.1</f>
        <v>319.10000000000002</v>
      </c>
      <c r="F204" s="4"/>
    </row>
    <row r="205" spans="1:6" x14ac:dyDescent="0.35">
      <c r="A205" s="1" t="s">
        <v>258</v>
      </c>
      <c r="B205">
        <v>60</v>
      </c>
      <c r="E205" s="4">
        <f>SUM($F$9:G204)+0.1</f>
        <v>319.10000000000002</v>
      </c>
      <c r="F205" s="4">
        <v>1</v>
      </c>
    </row>
    <row r="206" spans="1:6" x14ac:dyDescent="0.35">
      <c r="A206" s="1" t="s">
        <v>732</v>
      </c>
      <c r="B206">
        <v>60</v>
      </c>
      <c r="E206" s="4">
        <f>SUM($F$9:G205)+0.1</f>
        <v>320.10000000000002</v>
      </c>
      <c r="F206" s="4"/>
    </row>
    <row r="207" spans="1:6" x14ac:dyDescent="0.35">
      <c r="A207" s="1" t="s">
        <v>393</v>
      </c>
      <c r="B207">
        <v>60</v>
      </c>
      <c r="C207" t="s">
        <v>900</v>
      </c>
      <c r="E207" s="4">
        <f>SUM($F$9:G206)+0.1</f>
        <v>320.10000000000002</v>
      </c>
      <c r="F207" s="4"/>
    </row>
    <row r="208" spans="1:6" x14ac:dyDescent="0.35">
      <c r="A208" s="1" t="s">
        <v>491</v>
      </c>
      <c r="B208">
        <v>60</v>
      </c>
      <c r="C208" t="s">
        <v>901</v>
      </c>
      <c r="E208" s="4">
        <f>SUM($F$9:G207)+0.1</f>
        <v>320.10000000000002</v>
      </c>
      <c r="F208" s="4"/>
    </row>
    <row r="209" spans="1:6" x14ac:dyDescent="0.35">
      <c r="A209" s="1" t="s">
        <v>38</v>
      </c>
      <c r="B209">
        <v>60</v>
      </c>
      <c r="E209" s="4">
        <f>SUM($F$9:G208)+0.1</f>
        <v>320.10000000000002</v>
      </c>
      <c r="F209" s="4"/>
    </row>
    <row r="210" spans="1:6" x14ac:dyDescent="0.35">
      <c r="A210" s="1" t="s">
        <v>778</v>
      </c>
      <c r="B210">
        <v>60</v>
      </c>
      <c r="C210" t="s">
        <v>900</v>
      </c>
      <c r="E210" s="4">
        <f>SUM($F$9:G209)+0.1</f>
        <v>320.10000000000002</v>
      </c>
      <c r="F210" s="4"/>
    </row>
    <row r="211" spans="1:6" x14ac:dyDescent="0.35">
      <c r="A211" s="1" t="s">
        <v>797</v>
      </c>
      <c r="B211">
        <v>30</v>
      </c>
      <c r="E211" s="4">
        <f>SUM($F$9:G210)+0.1</f>
        <v>320.10000000000002</v>
      </c>
      <c r="F211" s="4"/>
    </row>
    <row r="212" spans="1:6" x14ac:dyDescent="0.35">
      <c r="A212" s="1" t="s">
        <v>907</v>
      </c>
      <c r="B212">
        <v>30</v>
      </c>
      <c r="E212" s="4">
        <f>SUM($F$9:G211)+0.1</f>
        <v>320.10000000000002</v>
      </c>
      <c r="F212" s="4"/>
    </row>
    <row r="213" spans="1:6" x14ac:dyDescent="0.35">
      <c r="A213" s="1" t="s">
        <v>394</v>
      </c>
      <c r="B213">
        <v>60</v>
      </c>
      <c r="E213" s="4">
        <f>SUM($F$9:G212)+0.1</f>
        <v>320.10000000000002</v>
      </c>
      <c r="F213" s="4"/>
    </row>
    <row r="214" spans="1:6" x14ac:dyDescent="0.35">
      <c r="A214" s="1" t="s">
        <v>599</v>
      </c>
      <c r="B214">
        <v>60</v>
      </c>
      <c r="E214" s="4">
        <f>SUM($F$9:G213)+0.1</f>
        <v>320.10000000000002</v>
      </c>
      <c r="F214" s="4"/>
    </row>
    <row r="215" spans="1:6" x14ac:dyDescent="0.35">
      <c r="A215" s="1" t="s">
        <v>259</v>
      </c>
      <c r="B215">
        <v>60</v>
      </c>
      <c r="C215" t="s">
        <v>903</v>
      </c>
      <c r="E215" s="4">
        <f>SUM($F$9:G214)+0.1</f>
        <v>320.10000000000002</v>
      </c>
      <c r="F215" s="4"/>
    </row>
    <row r="216" spans="1:6" x14ac:dyDescent="0.35">
      <c r="A216" s="1" t="s">
        <v>260</v>
      </c>
      <c r="B216">
        <v>60</v>
      </c>
      <c r="C216" t="s">
        <v>900</v>
      </c>
      <c r="E216" s="4">
        <f>SUM($F$9:G215)+0.1</f>
        <v>320.10000000000002</v>
      </c>
      <c r="F216" s="4"/>
    </row>
    <row r="217" spans="1:6" x14ac:dyDescent="0.35">
      <c r="A217" s="1" t="s">
        <v>600</v>
      </c>
      <c r="B217">
        <v>60</v>
      </c>
      <c r="E217" s="4">
        <f>SUM($F$9:G216)+0.1</f>
        <v>320.10000000000002</v>
      </c>
      <c r="F217" s="4"/>
    </row>
    <row r="218" spans="1:6" x14ac:dyDescent="0.35">
      <c r="A218" s="1" t="s">
        <v>1839</v>
      </c>
      <c r="E218" s="4">
        <f>SUM($F$9:G217)+0.1</f>
        <v>320.10000000000002</v>
      </c>
      <c r="F218" s="4"/>
    </row>
    <row r="219" spans="1:6" x14ac:dyDescent="0.35">
      <c r="A219" s="1" t="s">
        <v>669</v>
      </c>
      <c r="B219">
        <v>60</v>
      </c>
      <c r="E219" s="4">
        <f>SUM($F$9:G218)+0.1</f>
        <v>320.10000000000002</v>
      </c>
      <c r="F219" s="4"/>
    </row>
    <row r="220" spans="1:6" x14ac:dyDescent="0.35">
      <c r="A220" s="1" t="s">
        <v>39</v>
      </c>
      <c r="B220">
        <v>30</v>
      </c>
      <c r="C220" t="s">
        <v>903</v>
      </c>
      <c r="E220" s="4">
        <f>SUM($F$9:G219)+0.1</f>
        <v>320.10000000000002</v>
      </c>
      <c r="F220" s="4">
        <v>1</v>
      </c>
    </row>
    <row r="221" spans="1:6" x14ac:dyDescent="0.35">
      <c r="A221" s="1" t="s">
        <v>40</v>
      </c>
      <c r="B221">
        <v>60</v>
      </c>
      <c r="E221" s="4">
        <f>SUM($F$9:G220)+0.1</f>
        <v>321.10000000000002</v>
      </c>
      <c r="F221" s="4"/>
    </row>
    <row r="222" spans="1:6" x14ac:dyDescent="0.35">
      <c r="A222" s="1" t="s">
        <v>261</v>
      </c>
      <c r="B222">
        <v>60</v>
      </c>
      <c r="C222" t="s">
        <v>900</v>
      </c>
      <c r="E222" s="4">
        <f>SUM($F$9:G221)+0.1</f>
        <v>321.10000000000002</v>
      </c>
      <c r="F222" s="4"/>
    </row>
    <row r="223" spans="1:6" x14ac:dyDescent="0.35">
      <c r="A223" s="1" t="s">
        <v>492</v>
      </c>
      <c r="B223">
        <v>60</v>
      </c>
      <c r="C223" t="s">
        <v>901</v>
      </c>
      <c r="E223" s="4">
        <f>SUM($F$9:G222)+0.1</f>
        <v>321.10000000000002</v>
      </c>
      <c r="F223" s="4"/>
    </row>
    <row r="224" spans="1:6" x14ac:dyDescent="0.35">
      <c r="A224" s="1" t="s">
        <v>41</v>
      </c>
      <c r="B224">
        <v>60</v>
      </c>
      <c r="E224" s="4">
        <f>SUM($F$9:G223)+0.1</f>
        <v>321.10000000000002</v>
      </c>
      <c r="F224" s="4"/>
    </row>
    <row r="225" spans="1:6" x14ac:dyDescent="0.35">
      <c r="A225" s="1" t="s">
        <v>847</v>
      </c>
      <c r="B225">
        <v>60</v>
      </c>
      <c r="C225" t="s">
        <v>903</v>
      </c>
      <c r="E225" s="4">
        <f>SUM($F$9:G224)+0.1</f>
        <v>321.10000000000002</v>
      </c>
      <c r="F225" s="4"/>
    </row>
    <row r="226" spans="1:6" x14ac:dyDescent="0.35">
      <c r="A226" s="1" t="s">
        <v>262</v>
      </c>
      <c r="B226">
        <v>60</v>
      </c>
      <c r="C226" t="s">
        <v>901</v>
      </c>
      <c r="E226" s="4">
        <f>SUM($F$9:G225)+0.1</f>
        <v>321.10000000000002</v>
      </c>
      <c r="F226" s="4"/>
    </row>
    <row r="227" spans="1:6" x14ac:dyDescent="0.35">
      <c r="A227" s="1" t="s">
        <v>1913</v>
      </c>
      <c r="E227" s="4">
        <f>SUM($F$9:G226)+0.1</f>
        <v>321.10000000000002</v>
      </c>
      <c r="F227" s="4">
        <v>1</v>
      </c>
    </row>
    <row r="228" spans="1:6" x14ac:dyDescent="0.35">
      <c r="A228" s="1" t="s">
        <v>557</v>
      </c>
      <c r="B228">
        <v>60</v>
      </c>
      <c r="C228" t="s">
        <v>901</v>
      </c>
      <c r="E228" s="4">
        <f>SUM($F$9:G227)+0.1</f>
        <v>322.10000000000002</v>
      </c>
      <c r="F228" s="4"/>
    </row>
    <row r="229" spans="1:6" x14ac:dyDescent="0.35">
      <c r="A229" s="1" t="s">
        <v>798</v>
      </c>
      <c r="B229">
        <v>60</v>
      </c>
      <c r="E229" s="4">
        <f>SUM($F$9:G228)+0.1</f>
        <v>322.10000000000002</v>
      </c>
      <c r="F229" s="4"/>
    </row>
    <row r="230" spans="1:6" x14ac:dyDescent="0.35">
      <c r="A230" s="1" t="s">
        <v>42</v>
      </c>
      <c r="B230">
        <v>30</v>
      </c>
      <c r="C230" t="s">
        <v>903</v>
      </c>
      <c r="E230" s="4">
        <f>SUM($F$9:G229)+0.1</f>
        <v>322.10000000000002</v>
      </c>
      <c r="F230" s="4"/>
    </row>
    <row r="231" spans="1:6" x14ac:dyDescent="0.35">
      <c r="A231" s="1" t="s">
        <v>670</v>
      </c>
      <c r="B231">
        <v>60</v>
      </c>
      <c r="C231" t="s">
        <v>900</v>
      </c>
      <c r="E231" s="4">
        <f>SUM($F$9:G230)+0.1</f>
        <v>322.10000000000002</v>
      </c>
      <c r="F231" s="4"/>
    </row>
    <row r="232" spans="1:6" x14ac:dyDescent="0.35">
      <c r="A232" s="1" t="s">
        <v>779</v>
      </c>
      <c r="B232">
        <v>60</v>
      </c>
      <c r="C232" t="s">
        <v>901</v>
      </c>
      <c r="E232" s="4">
        <f>SUM($F$9:G231)+0.1</f>
        <v>322.10000000000002</v>
      </c>
      <c r="F232" s="4"/>
    </row>
    <row r="233" spans="1:6" x14ac:dyDescent="0.35">
      <c r="A233" s="1" t="s">
        <v>395</v>
      </c>
      <c r="B233">
        <v>60</v>
      </c>
      <c r="C233" t="s">
        <v>901</v>
      </c>
      <c r="E233" s="4">
        <f>SUM($F$9:G232)+0.1</f>
        <v>322.10000000000002</v>
      </c>
      <c r="F233" s="4"/>
    </row>
    <row r="234" spans="1:6" x14ac:dyDescent="0.35">
      <c r="A234" s="1" t="s">
        <v>601</v>
      </c>
      <c r="B234">
        <v>60</v>
      </c>
      <c r="C234" t="s">
        <v>903</v>
      </c>
      <c r="E234" s="4">
        <f>SUM($F$9:G233)+0.1</f>
        <v>322.10000000000002</v>
      </c>
      <c r="F234" s="4"/>
    </row>
    <row r="235" spans="1:6" x14ac:dyDescent="0.35">
      <c r="A235" s="1" t="s">
        <v>493</v>
      </c>
      <c r="B235">
        <v>60</v>
      </c>
      <c r="E235" s="4">
        <f>SUM($F$9:G234)+0.1</f>
        <v>322.10000000000002</v>
      </c>
      <c r="F235" s="4"/>
    </row>
    <row r="236" spans="1:6" x14ac:dyDescent="0.35">
      <c r="A236" s="1" t="s">
        <v>1907</v>
      </c>
      <c r="E236" s="4">
        <f>SUM($F$9:G235)+0.1</f>
        <v>322.10000000000002</v>
      </c>
      <c r="F236" s="4"/>
    </row>
    <row r="237" spans="1:6" x14ac:dyDescent="0.35">
      <c r="A237" s="1" t="s">
        <v>192</v>
      </c>
      <c r="B237">
        <v>30</v>
      </c>
      <c r="E237" s="4">
        <f>SUM($F$9:G236)+0.1</f>
        <v>322.10000000000002</v>
      </c>
      <c r="F237" s="4"/>
    </row>
    <row r="238" spans="1:6" x14ac:dyDescent="0.35">
      <c r="A238" s="1" t="s">
        <v>494</v>
      </c>
      <c r="B238">
        <v>60</v>
      </c>
      <c r="E238" s="4">
        <f>SUM($F$9:G237)+0.1</f>
        <v>322.10000000000002</v>
      </c>
      <c r="F238" s="4"/>
    </row>
    <row r="239" spans="1:6" x14ac:dyDescent="0.35">
      <c r="A239" s="1" t="s">
        <v>396</v>
      </c>
      <c r="B239">
        <v>30</v>
      </c>
      <c r="E239" s="4">
        <f>SUM($F$9:G238)+0.1</f>
        <v>322.10000000000002</v>
      </c>
      <c r="F239" s="4"/>
    </row>
    <row r="240" spans="1:6" x14ac:dyDescent="0.35">
      <c r="A240" s="1" t="s">
        <v>833</v>
      </c>
      <c r="B240">
        <v>60</v>
      </c>
      <c r="C240">
        <v>1</v>
      </c>
      <c r="E240" s="4">
        <f>SUM($F$9:G239)+0.1</f>
        <v>322.10000000000002</v>
      </c>
      <c r="F240" s="4"/>
    </row>
    <row r="241" spans="1:6" x14ac:dyDescent="0.35">
      <c r="A241" s="1" t="s">
        <v>397</v>
      </c>
      <c r="B241">
        <v>60</v>
      </c>
      <c r="C241" t="s">
        <v>901</v>
      </c>
      <c r="E241" s="4">
        <f>SUM($F$9:G240)+0.1</f>
        <v>322.10000000000002</v>
      </c>
      <c r="F241" s="4"/>
    </row>
    <row r="242" spans="1:6" x14ac:dyDescent="0.35">
      <c r="A242" s="1" t="s">
        <v>158</v>
      </c>
      <c r="B242">
        <v>30</v>
      </c>
      <c r="E242" s="4">
        <f>SUM($F$9:G241)+0.1</f>
        <v>322.10000000000002</v>
      </c>
      <c r="F242" s="4"/>
    </row>
    <row r="243" spans="1:6" x14ac:dyDescent="0.35">
      <c r="A243" s="1" t="s">
        <v>642</v>
      </c>
      <c r="B243">
        <v>60</v>
      </c>
      <c r="C243" t="s">
        <v>901</v>
      </c>
      <c r="E243" s="4">
        <f>SUM($F$9:G242)+0.1</f>
        <v>322.10000000000002</v>
      </c>
      <c r="F243" s="4"/>
    </row>
    <row r="244" spans="1:6" x14ac:dyDescent="0.35">
      <c r="A244" s="1" t="s">
        <v>799</v>
      </c>
      <c r="B244">
        <v>30</v>
      </c>
      <c r="E244" s="4">
        <f>SUM($F$9:G243)+0.1</f>
        <v>322.10000000000002</v>
      </c>
      <c r="F244" s="4">
        <v>5</v>
      </c>
    </row>
    <row r="245" spans="1:6" x14ac:dyDescent="0.35">
      <c r="A245" s="1" t="s">
        <v>43</v>
      </c>
      <c r="B245">
        <v>60</v>
      </c>
      <c r="E245" s="4">
        <f>SUM($F$9:G244)+0.1</f>
        <v>327.10000000000002</v>
      </c>
      <c r="F245" s="4"/>
    </row>
    <row r="246" spans="1:6" x14ac:dyDescent="0.35">
      <c r="A246" s="1" t="s">
        <v>207</v>
      </c>
      <c r="B246">
        <v>60</v>
      </c>
      <c r="C246" t="s">
        <v>901</v>
      </c>
      <c r="E246" s="4">
        <f>SUM($F$9:G245)+0.1</f>
        <v>327.10000000000002</v>
      </c>
      <c r="F246" s="4"/>
    </row>
    <row r="247" spans="1:6" x14ac:dyDescent="0.35">
      <c r="A247" s="1" t="s">
        <v>559</v>
      </c>
      <c r="B247">
        <v>30</v>
      </c>
      <c r="E247" s="4">
        <f>SUM($F$9:G246)+0.1</f>
        <v>327.10000000000002</v>
      </c>
      <c r="F247" s="4"/>
    </row>
    <row r="248" spans="1:6" x14ac:dyDescent="0.35">
      <c r="A248" s="1" t="s">
        <v>44</v>
      </c>
      <c r="B248">
        <v>60</v>
      </c>
      <c r="C248" t="s">
        <v>901</v>
      </c>
      <c r="E248" s="4">
        <f>SUM($F$9:G247)+0.1</f>
        <v>327.10000000000002</v>
      </c>
      <c r="F248" s="4"/>
    </row>
    <row r="249" spans="1:6" x14ac:dyDescent="0.35">
      <c r="A249" s="1" t="s">
        <v>45</v>
      </c>
      <c r="B249">
        <v>60</v>
      </c>
      <c r="C249" t="s">
        <v>900</v>
      </c>
      <c r="E249" s="4">
        <f>SUM($F$9:G248)+0.1</f>
        <v>327.10000000000002</v>
      </c>
      <c r="F249" s="4"/>
    </row>
    <row r="250" spans="1:6" x14ac:dyDescent="0.35">
      <c r="A250" s="1" t="s">
        <v>671</v>
      </c>
      <c r="B250">
        <v>60</v>
      </c>
      <c r="E250" s="4">
        <f>SUM($F$9:G249)+0.1</f>
        <v>327.10000000000002</v>
      </c>
      <c r="F250" s="4">
        <v>1</v>
      </c>
    </row>
    <row r="251" spans="1:6" x14ac:dyDescent="0.35">
      <c r="A251" s="1" t="s">
        <v>495</v>
      </c>
      <c r="B251">
        <v>30</v>
      </c>
      <c r="E251" s="4">
        <f>SUM($F$9:G250)+0.1</f>
        <v>328.1</v>
      </c>
      <c r="F251" s="4"/>
    </row>
    <row r="252" spans="1:6" x14ac:dyDescent="0.35">
      <c r="A252" s="1" t="s">
        <v>849</v>
      </c>
      <c r="B252">
        <v>30</v>
      </c>
      <c r="E252" s="4">
        <f>SUM($F$9:G251)+0.1</f>
        <v>328.1</v>
      </c>
      <c r="F252" s="4"/>
    </row>
    <row r="253" spans="1:6" x14ac:dyDescent="0.35">
      <c r="A253" s="1" t="s">
        <v>191</v>
      </c>
      <c r="B253">
        <v>60</v>
      </c>
      <c r="E253" s="4">
        <f>SUM($F$9:G252)+0.1</f>
        <v>328.1</v>
      </c>
      <c r="F253" s="4">
        <v>1</v>
      </c>
    </row>
    <row r="254" spans="1:6" x14ac:dyDescent="0.35">
      <c r="A254" s="1" t="s">
        <v>263</v>
      </c>
      <c r="B254">
        <v>60</v>
      </c>
      <c r="C254" t="s">
        <v>900</v>
      </c>
      <c r="E254" s="4">
        <f>SUM($F$9:G253)+0.1</f>
        <v>329.1</v>
      </c>
      <c r="F254" s="4"/>
    </row>
    <row r="255" spans="1:6" x14ac:dyDescent="0.35">
      <c r="A255" s="1" t="s">
        <v>560</v>
      </c>
      <c r="B255">
        <v>60</v>
      </c>
      <c r="E255" s="4">
        <f>SUM($F$9:G254)+0.1</f>
        <v>329.1</v>
      </c>
      <c r="F255" s="4"/>
    </row>
    <row r="256" spans="1:6" x14ac:dyDescent="0.35">
      <c r="A256" s="1" t="s">
        <v>46</v>
      </c>
      <c r="B256">
        <v>60</v>
      </c>
      <c r="E256" s="4">
        <f>SUM($F$9:G255)+0.1</f>
        <v>329.1</v>
      </c>
      <c r="F256" s="4">
        <v>15</v>
      </c>
    </row>
    <row r="257" spans="1:6" x14ac:dyDescent="0.35">
      <c r="A257" s="1" t="s">
        <v>848</v>
      </c>
      <c r="B257">
        <v>30</v>
      </c>
      <c r="E257" s="4">
        <f>SUM($F$9:G256)+0.1</f>
        <v>344.1</v>
      </c>
      <c r="F257" s="4"/>
    </row>
    <row r="258" spans="1:6" x14ac:dyDescent="0.35">
      <c r="A258" s="1" t="s">
        <v>264</v>
      </c>
      <c r="B258">
        <v>30</v>
      </c>
      <c r="E258" s="4">
        <f>SUM($F$9:G257)+0.1</f>
        <v>344.1</v>
      </c>
      <c r="F258" s="4"/>
    </row>
    <row r="259" spans="1:6" x14ac:dyDescent="0.35">
      <c r="A259" s="1" t="s">
        <v>398</v>
      </c>
      <c r="B259">
        <v>60</v>
      </c>
      <c r="C259" t="s">
        <v>901</v>
      </c>
      <c r="E259" s="4">
        <f>SUM($F$9:G258)+0.1</f>
        <v>344.1</v>
      </c>
      <c r="F259" s="4"/>
    </row>
    <row r="260" spans="1:6" x14ac:dyDescent="0.35">
      <c r="A260" s="1" t="s">
        <v>672</v>
      </c>
      <c r="B260">
        <v>60</v>
      </c>
      <c r="E260" s="4">
        <f>SUM($F$9:G259)+0.1</f>
        <v>344.1</v>
      </c>
      <c r="F260" s="4"/>
    </row>
    <row r="261" spans="1:6" x14ac:dyDescent="0.35">
      <c r="A261" s="1" t="s">
        <v>183</v>
      </c>
      <c r="B261">
        <v>60</v>
      </c>
      <c r="E261" s="4">
        <f>SUM($F$9:G260)+0.1</f>
        <v>344.1</v>
      </c>
      <c r="F261" s="4"/>
    </row>
    <row r="262" spans="1:6" x14ac:dyDescent="0.35">
      <c r="A262" s="1" t="s">
        <v>673</v>
      </c>
      <c r="B262">
        <v>30</v>
      </c>
      <c r="E262" s="4">
        <f>SUM($F$9:G261)+0.1</f>
        <v>344.1</v>
      </c>
      <c r="F262" s="4"/>
    </row>
    <row r="263" spans="1:6" x14ac:dyDescent="0.35">
      <c r="A263" s="1" t="s">
        <v>496</v>
      </c>
      <c r="B263">
        <v>60</v>
      </c>
      <c r="C263" t="s">
        <v>900</v>
      </c>
      <c r="E263" s="4">
        <f>SUM($F$9:G262)+0.1</f>
        <v>344.1</v>
      </c>
      <c r="F263" s="4"/>
    </row>
    <row r="264" spans="1:6" x14ac:dyDescent="0.35">
      <c r="A264" s="1" t="s">
        <v>265</v>
      </c>
      <c r="B264">
        <v>60</v>
      </c>
      <c r="C264" t="s">
        <v>900</v>
      </c>
      <c r="E264" s="4">
        <f>SUM($F$9:G263)+0.1</f>
        <v>344.1</v>
      </c>
      <c r="F264" s="4"/>
    </row>
    <row r="265" spans="1:6" x14ac:dyDescent="0.35">
      <c r="A265" s="1" t="s">
        <v>602</v>
      </c>
      <c r="B265">
        <v>60</v>
      </c>
      <c r="D265" t="s">
        <v>908</v>
      </c>
      <c r="E265" s="4">
        <f>SUM($F$9:G264)+0.1</f>
        <v>344.1</v>
      </c>
      <c r="F265" s="4"/>
    </row>
    <row r="266" spans="1:6" x14ac:dyDescent="0.35">
      <c r="A266" s="1" t="s">
        <v>603</v>
      </c>
      <c r="B266">
        <v>60</v>
      </c>
      <c r="C266" t="s">
        <v>901</v>
      </c>
      <c r="E266" s="4">
        <f>SUM($F$9:G265)+0.1</f>
        <v>344.1</v>
      </c>
      <c r="F266" s="4"/>
    </row>
    <row r="267" spans="1:6" x14ac:dyDescent="0.35">
      <c r="A267" s="1" t="s">
        <v>266</v>
      </c>
      <c r="B267">
        <v>60</v>
      </c>
      <c r="C267" t="s">
        <v>900</v>
      </c>
      <c r="E267" s="4">
        <f>SUM($F$9:G266)+0.1</f>
        <v>344.1</v>
      </c>
      <c r="F267" s="4"/>
    </row>
    <row r="268" spans="1:6" x14ac:dyDescent="0.35">
      <c r="A268" s="1" t="s">
        <v>497</v>
      </c>
      <c r="B268">
        <v>60</v>
      </c>
      <c r="E268" s="4">
        <f>SUM($F$9:G267)+0.1</f>
        <v>344.1</v>
      </c>
      <c r="F268" s="4"/>
    </row>
    <row r="269" spans="1:6" x14ac:dyDescent="0.35">
      <c r="A269" s="1" t="s">
        <v>800</v>
      </c>
      <c r="B269">
        <v>60</v>
      </c>
      <c r="C269" t="s">
        <v>901</v>
      </c>
      <c r="E269" s="4">
        <f>SUM($F$9:G268)+0.1</f>
        <v>344.1</v>
      </c>
      <c r="F269" s="4"/>
    </row>
    <row r="270" spans="1:6" x14ac:dyDescent="0.35">
      <c r="A270" s="1" t="s">
        <v>267</v>
      </c>
      <c r="B270">
        <v>30</v>
      </c>
      <c r="E270" s="4">
        <f>SUM($F$9:G269)+0.1</f>
        <v>344.1</v>
      </c>
      <c r="F270" s="4"/>
    </row>
    <row r="271" spans="1:6" x14ac:dyDescent="0.35">
      <c r="A271" s="1" t="s">
        <v>47</v>
      </c>
      <c r="E271" s="4">
        <f>SUM($F$9:G270)+0.1</f>
        <v>344.1</v>
      </c>
      <c r="F271" s="4"/>
    </row>
    <row r="272" spans="1:6" x14ac:dyDescent="0.35">
      <c r="A272" s="1" t="s">
        <v>498</v>
      </c>
      <c r="B272">
        <v>60</v>
      </c>
      <c r="C272" t="s">
        <v>901</v>
      </c>
      <c r="E272" s="4">
        <f>SUM($F$9:G271)+0.1</f>
        <v>344.1</v>
      </c>
      <c r="F272" s="4"/>
    </row>
    <row r="273" spans="1:6" x14ac:dyDescent="0.35">
      <c r="A273" s="1" t="s">
        <v>48</v>
      </c>
      <c r="B273">
        <v>60</v>
      </c>
      <c r="E273" s="4">
        <f>SUM($F$9:G272)+0.1</f>
        <v>344.1</v>
      </c>
      <c r="F273" s="4">
        <v>1</v>
      </c>
    </row>
    <row r="274" spans="1:6" x14ac:dyDescent="0.35">
      <c r="A274" s="1" t="s">
        <v>674</v>
      </c>
      <c r="B274">
        <v>30</v>
      </c>
      <c r="E274" s="4">
        <f>SUM($F$9:G273)+0.1</f>
        <v>345.1</v>
      </c>
      <c r="F274" s="4"/>
    </row>
    <row r="275" spans="1:6" x14ac:dyDescent="0.35">
      <c r="A275" s="1" t="s">
        <v>268</v>
      </c>
      <c r="B275">
        <v>60</v>
      </c>
      <c r="C275" t="s">
        <v>900</v>
      </c>
      <c r="E275" s="4">
        <f>SUM($F$9:G274)+0.1</f>
        <v>345.1</v>
      </c>
      <c r="F275" s="4"/>
    </row>
    <row r="276" spans="1:6" x14ac:dyDescent="0.35">
      <c r="A276" s="1" t="s">
        <v>51</v>
      </c>
      <c r="B276">
        <v>30</v>
      </c>
      <c r="E276" s="4">
        <f>SUM($F$9:G275)+0.1</f>
        <v>345.1</v>
      </c>
      <c r="F276" s="4"/>
    </row>
    <row r="277" spans="1:6" x14ac:dyDescent="0.35">
      <c r="A277" s="1" t="s">
        <v>604</v>
      </c>
      <c r="B277">
        <v>30</v>
      </c>
      <c r="E277" s="4">
        <f>SUM($F$9:G276)+0.1</f>
        <v>345.1</v>
      </c>
      <c r="F277" s="4"/>
    </row>
    <row r="278" spans="1:6" x14ac:dyDescent="0.35">
      <c r="A278" s="1" t="s">
        <v>801</v>
      </c>
      <c r="B278">
        <v>60</v>
      </c>
      <c r="E278" s="4">
        <f>SUM($F$9:G277)+0.1</f>
        <v>345.1</v>
      </c>
      <c r="F278" s="4"/>
    </row>
    <row r="279" spans="1:6" x14ac:dyDescent="0.35">
      <c r="A279" s="1" t="s">
        <v>499</v>
      </c>
      <c r="B279">
        <v>60</v>
      </c>
      <c r="E279" s="4">
        <f>SUM($F$9:G278)+0.1</f>
        <v>345.1</v>
      </c>
      <c r="F279" s="4"/>
    </row>
    <row r="280" spans="1:6" x14ac:dyDescent="0.35">
      <c r="A280" s="1" t="s">
        <v>500</v>
      </c>
      <c r="B280">
        <v>60</v>
      </c>
      <c r="C280" t="s">
        <v>901</v>
      </c>
      <c r="E280" s="4">
        <f>SUM($F$9:G279)+0.1</f>
        <v>345.1</v>
      </c>
      <c r="F280" s="4"/>
    </row>
    <row r="281" spans="1:6" x14ac:dyDescent="0.35">
      <c r="A281" s="1" t="s">
        <v>802</v>
      </c>
      <c r="B281">
        <v>60</v>
      </c>
      <c r="E281" s="4">
        <f>SUM($F$9:G280)+0.1</f>
        <v>345.1</v>
      </c>
      <c r="F281" s="4"/>
    </row>
    <row r="282" spans="1:6" x14ac:dyDescent="0.35">
      <c r="A282" s="1" t="s">
        <v>52</v>
      </c>
      <c r="B282">
        <v>30</v>
      </c>
      <c r="E282" s="4">
        <f>SUM($F$9:G281)+0.1</f>
        <v>345.1</v>
      </c>
      <c r="F282" s="4">
        <v>14</v>
      </c>
    </row>
    <row r="283" spans="1:6" x14ac:dyDescent="0.35">
      <c r="A283" s="13" t="s">
        <v>501</v>
      </c>
      <c r="B283">
        <v>60</v>
      </c>
      <c r="C283">
        <v>1</v>
      </c>
      <c r="E283" s="4">
        <f>SUM($F$9:G282)+0.1</f>
        <v>359.1</v>
      </c>
      <c r="F283" s="4"/>
    </row>
    <row r="284" spans="1:6" x14ac:dyDescent="0.35">
      <c r="A284" s="1" t="s">
        <v>502</v>
      </c>
      <c r="B284">
        <v>30</v>
      </c>
      <c r="E284" s="4">
        <f>SUM($F$9:G283)+0.1</f>
        <v>359.1</v>
      </c>
      <c r="F284" s="4"/>
    </row>
    <row r="285" spans="1:6" x14ac:dyDescent="0.35">
      <c r="A285" s="1" t="s">
        <v>53</v>
      </c>
      <c r="B285">
        <v>30</v>
      </c>
      <c r="E285" s="4">
        <f>SUM($F$9:G284)+0.1</f>
        <v>359.1</v>
      </c>
      <c r="F285" s="4"/>
    </row>
    <row r="286" spans="1:6" x14ac:dyDescent="0.35">
      <c r="A286" s="1" t="s">
        <v>54</v>
      </c>
      <c r="B286">
        <v>60</v>
      </c>
      <c r="E286" s="4">
        <f>SUM($F$9:G285)+0.1</f>
        <v>359.1</v>
      </c>
      <c r="F286" s="4"/>
    </row>
    <row r="287" spans="1:6" x14ac:dyDescent="0.35">
      <c r="A287" s="1" t="s">
        <v>55</v>
      </c>
      <c r="B287">
        <v>30</v>
      </c>
      <c r="E287" s="4">
        <f>SUM($F$9:G286)+0.1</f>
        <v>359.1</v>
      </c>
      <c r="F287" s="4"/>
    </row>
    <row r="288" spans="1:6" x14ac:dyDescent="0.35">
      <c r="A288" s="1" t="s">
        <v>269</v>
      </c>
      <c r="B288">
        <v>30</v>
      </c>
      <c r="E288" s="4">
        <f>SUM($F$9:G287)+0.1</f>
        <v>359.1</v>
      </c>
      <c r="F288" s="4"/>
    </row>
    <row r="289" spans="1:6" x14ac:dyDescent="0.35">
      <c r="A289" s="1" t="s">
        <v>675</v>
      </c>
      <c r="B289">
        <v>60</v>
      </c>
      <c r="E289" s="4">
        <f>SUM($F$9:G288)+0.1</f>
        <v>359.1</v>
      </c>
      <c r="F289" s="4">
        <v>1</v>
      </c>
    </row>
    <row r="290" spans="1:6" x14ac:dyDescent="0.35">
      <c r="A290" s="1" t="s">
        <v>172</v>
      </c>
      <c r="B290">
        <v>60</v>
      </c>
      <c r="E290" s="4">
        <f>SUM($F$9:G289)+0.1</f>
        <v>360.1</v>
      </c>
      <c r="F290" s="4">
        <v>4</v>
      </c>
    </row>
    <row r="291" spans="1:6" x14ac:dyDescent="0.35">
      <c r="A291" s="1" t="s">
        <v>270</v>
      </c>
      <c r="B291">
        <v>60</v>
      </c>
      <c r="E291" s="4">
        <f>SUM($F$9:G290)+0.1</f>
        <v>364.1</v>
      </c>
      <c r="F291" s="4"/>
    </row>
    <row r="292" spans="1:6" x14ac:dyDescent="0.35">
      <c r="A292" s="1" t="s">
        <v>561</v>
      </c>
      <c r="B292">
        <v>60</v>
      </c>
      <c r="C292" t="s">
        <v>901</v>
      </c>
      <c r="D292" t="s">
        <v>902</v>
      </c>
      <c r="E292" s="4">
        <f>SUM($F$9:G291)+0.1</f>
        <v>364.1</v>
      </c>
      <c r="F292" s="4"/>
    </row>
    <row r="293" spans="1:6" x14ac:dyDescent="0.35">
      <c r="A293" s="1" t="s">
        <v>179</v>
      </c>
      <c r="B293">
        <v>30</v>
      </c>
      <c r="E293" s="4">
        <f>SUM($F$9:G292)+0.1</f>
        <v>364.1</v>
      </c>
      <c r="F293" s="4"/>
    </row>
    <row r="294" spans="1:6" x14ac:dyDescent="0.35">
      <c r="A294" s="1" t="s">
        <v>503</v>
      </c>
      <c r="B294">
        <v>60</v>
      </c>
      <c r="E294" s="4">
        <f>SUM($F$9:G293)+0.1</f>
        <v>364.1</v>
      </c>
      <c r="F294" s="4"/>
    </row>
    <row r="295" spans="1:6" x14ac:dyDescent="0.35">
      <c r="A295" s="1" t="s">
        <v>605</v>
      </c>
      <c r="B295">
        <v>60</v>
      </c>
      <c r="E295" s="4">
        <f>SUM($F$9:G294)+0.1</f>
        <v>364.1</v>
      </c>
      <c r="F295" s="4"/>
    </row>
    <row r="296" spans="1:6" x14ac:dyDescent="0.35">
      <c r="A296" s="1" t="s">
        <v>677</v>
      </c>
      <c r="B296">
        <v>30</v>
      </c>
      <c r="E296" s="4">
        <f>SUM($F$9:G295)+0.1</f>
        <v>364.1</v>
      </c>
      <c r="F296" s="4"/>
    </row>
    <row r="297" spans="1:6" x14ac:dyDescent="0.35">
      <c r="A297" s="1" t="s">
        <v>202</v>
      </c>
      <c r="B297">
        <v>60</v>
      </c>
      <c r="E297" s="4">
        <f>SUM($F$9:G296)+0.1</f>
        <v>364.1</v>
      </c>
      <c r="F297" s="4"/>
    </row>
    <row r="298" spans="1:6" x14ac:dyDescent="0.35">
      <c r="A298" s="1" t="s">
        <v>676</v>
      </c>
      <c r="B298">
        <v>60</v>
      </c>
      <c r="C298" t="s">
        <v>901</v>
      </c>
      <c r="E298" s="4">
        <f>SUM($F$9:G297)+0.1</f>
        <v>364.1</v>
      </c>
      <c r="F298" s="4"/>
    </row>
    <row r="299" spans="1:6" x14ac:dyDescent="0.35">
      <c r="A299" s="1" t="s">
        <v>56</v>
      </c>
      <c r="B299">
        <v>60</v>
      </c>
      <c r="C299" t="s">
        <v>903</v>
      </c>
      <c r="E299" s="4">
        <f>SUM($F$9:G298)+0.1</f>
        <v>364.1</v>
      </c>
      <c r="F299" s="4">
        <v>1</v>
      </c>
    </row>
    <row r="300" spans="1:6" x14ac:dyDescent="0.35">
      <c r="A300" s="1" t="s">
        <v>909</v>
      </c>
      <c r="B300">
        <v>60</v>
      </c>
      <c r="E300" s="4">
        <f>SUM($F$9:G299)+0.1</f>
        <v>365.1</v>
      </c>
      <c r="F300" s="4"/>
    </row>
    <row r="301" spans="1:6" x14ac:dyDescent="0.35">
      <c r="A301" s="1" t="s">
        <v>678</v>
      </c>
      <c r="B301">
        <v>60</v>
      </c>
      <c r="C301" t="s">
        <v>900</v>
      </c>
      <c r="E301" s="4">
        <f>SUM($F$9:G300)+0.1</f>
        <v>365.1</v>
      </c>
      <c r="F301" s="4"/>
    </row>
    <row r="302" spans="1:6" x14ac:dyDescent="0.35">
      <c r="A302" s="1" t="s">
        <v>399</v>
      </c>
      <c r="B302">
        <v>60</v>
      </c>
      <c r="E302" s="4">
        <f>SUM($F$9:G301)+0.1</f>
        <v>365.1</v>
      </c>
      <c r="F302" s="4"/>
    </row>
    <row r="303" spans="1:6" x14ac:dyDescent="0.35">
      <c r="A303" s="1" t="s">
        <v>875</v>
      </c>
      <c r="B303">
        <v>30</v>
      </c>
      <c r="E303" s="4">
        <f>SUM($F$9:G302)+0.1</f>
        <v>365.1</v>
      </c>
      <c r="F303" s="4"/>
    </row>
    <row r="304" spans="1:6" x14ac:dyDescent="0.35">
      <c r="A304" s="1" t="s">
        <v>562</v>
      </c>
      <c r="B304">
        <v>60</v>
      </c>
      <c r="E304" s="4">
        <f>SUM($F$9:G303)+0.1</f>
        <v>365.1</v>
      </c>
      <c r="F304" s="4"/>
    </row>
    <row r="305" spans="1:6" x14ac:dyDescent="0.35">
      <c r="A305" s="1" t="s">
        <v>734</v>
      </c>
      <c r="B305">
        <v>60</v>
      </c>
      <c r="E305" s="4">
        <f>SUM($F$9:G304)+0.1</f>
        <v>365.1</v>
      </c>
      <c r="F305" s="4"/>
    </row>
    <row r="306" spans="1:6" x14ac:dyDescent="0.35">
      <c r="A306" s="1" t="s">
        <v>271</v>
      </c>
      <c r="B306">
        <v>60</v>
      </c>
      <c r="E306" s="4">
        <f>SUM($F$9:G305)+0.1</f>
        <v>365.1</v>
      </c>
      <c r="F306" s="4"/>
    </row>
    <row r="307" spans="1:6" x14ac:dyDescent="0.35">
      <c r="A307" s="1" t="s">
        <v>1835</v>
      </c>
      <c r="E307" s="4">
        <f>SUM($F$9:G306)+0.1</f>
        <v>365.1</v>
      </c>
      <c r="F307" s="4"/>
    </row>
    <row r="308" spans="1:6" x14ac:dyDescent="0.35">
      <c r="A308" s="1" t="s">
        <v>679</v>
      </c>
      <c r="B308">
        <v>30</v>
      </c>
      <c r="E308" s="4">
        <f>SUM($F$9:G307)+0.1</f>
        <v>365.1</v>
      </c>
      <c r="F308" s="4">
        <v>1</v>
      </c>
    </row>
    <row r="309" spans="1:6" x14ac:dyDescent="0.35">
      <c r="A309" s="1" t="s">
        <v>504</v>
      </c>
      <c r="B309">
        <v>60</v>
      </c>
      <c r="E309" s="4">
        <f>SUM($F$9:G308)+0.1</f>
        <v>366.1</v>
      </c>
      <c r="F309" s="4"/>
    </row>
    <row r="310" spans="1:6" x14ac:dyDescent="0.35">
      <c r="A310" s="1" t="s">
        <v>272</v>
      </c>
      <c r="B310">
        <v>30</v>
      </c>
      <c r="E310" s="4">
        <f>SUM($F$9:G309)+0.1</f>
        <v>366.1</v>
      </c>
      <c r="F310" s="4">
        <v>5</v>
      </c>
    </row>
    <row r="311" spans="1:6" x14ac:dyDescent="0.35">
      <c r="A311" s="1" t="s">
        <v>273</v>
      </c>
      <c r="B311">
        <v>60</v>
      </c>
      <c r="C311">
        <v>1</v>
      </c>
      <c r="E311" s="4">
        <f>SUM($F$9:G310)+0.1</f>
        <v>371.1</v>
      </c>
      <c r="F311" s="4"/>
    </row>
    <row r="312" spans="1:6" x14ac:dyDescent="0.35">
      <c r="A312" s="1" t="s">
        <v>563</v>
      </c>
      <c r="B312">
        <v>30</v>
      </c>
      <c r="E312" s="4">
        <f>SUM($F$9:G311)+0.1</f>
        <v>371.1</v>
      </c>
      <c r="F312" s="4"/>
    </row>
    <row r="313" spans="1:6" x14ac:dyDescent="0.35">
      <c r="A313" s="1" t="s">
        <v>606</v>
      </c>
      <c r="B313">
        <v>60</v>
      </c>
      <c r="E313" s="4">
        <f>SUM($F$9:G312)+0.1</f>
        <v>371.1</v>
      </c>
      <c r="F313" s="4"/>
    </row>
    <row r="314" spans="1:6" x14ac:dyDescent="0.35">
      <c r="A314" s="1" t="s">
        <v>680</v>
      </c>
      <c r="B314">
        <v>60</v>
      </c>
      <c r="E314" s="4">
        <f>SUM($F$9:G313)+0.1</f>
        <v>371.1</v>
      </c>
      <c r="F314" s="4"/>
    </row>
    <row r="315" spans="1:6" x14ac:dyDescent="0.35">
      <c r="A315" s="1" t="s">
        <v>681</v>
      </c>
      <c r="B315">
        <v>60</v>
      </c>
      <c r="E315" s="4">
        <f>SUM($F$9:G314)+0.1</f>
        <v>371.1</v>
      </c>
      <c r="F315" s="4"/>
    </row>
    <row r="316" spans="1:6" x14ac:dyDescent="0.35">
      <c r="A316" s="1" t="s">
        <v>564</v>
      </c>
      <c r="B316">
        <v>60</v>
      </c>
      <c r="E316" s="4">
        <f>SUM($F$9:G315)+0.1</f>
        <v>371.1</v>
      </c>
      <c r="F316" s="4">
        <v>5</v>
      </c>
    </row>
    <row r="317" spans="1:6" x14ac:dyDescent="0.35">
      <c r="A317" s="1" t="s">
        <v>886</v>
      </c>
      <c r="B317">
        <v>60</v>
      </c>
      <c r="D317" t="s">
        <v>884</v>
      </c>
      <c r="E317" s="4">
        <f>SUM($F$9:G316)+0.1</f>
        <v>376.1</v>
      </c>
      <c r="F317" s="4"/>
    </row>
    <row r="318" spans="1:6" x14ac:dyDescent="0.35">
      <c r="A318" s="1" t="s">
        <v>156</v>
      </c>
      <c r="B318">
        <v>60</v>
      </c>
      <c r="E318" s="4">
        <f>SUM($F$9:G317)+0.1</f>
        <v>376.1</v>
      </c>
      <c r="F318" s="4"/>
    </row>
    <row r="319" spans="1:6" x14ac:dyDescent="0.35">
      <c r="A319" s="1" t="s">
        <v>566</v>
      </c>
      <c r="B319">
        <v>60</v>
      </c>
      <c r="E319" s="4">
        <f>SUM($F$9:G318)+0.1</f>
        <v>376.1</v>
      </c>
      <c r="F319" s="4"/>
    </row>
    <row r="320" spans="1:6" x14ac:dyDescent="0.35">
      <c r="A320" s="1" t="s">
        <v>885</v>
      </c>
      <c r="B320">
        <v>60</v>
      </c>
      <c r="E320" s="4">
        <f>SUM($F$9:G319)+0.1</f>
        <v>376.1</v>
      </c>
      <c r="F320" s="4"/>
    </row>
    <row r="321" spans="1:6" x14ac:dyDescent="0.35">
      <c r="A321" s="1" t="s">
        <v>683</v>
      </c>
      <c r="B321">
        <v>60</v>
      </c>
      <c r="E321" s="4">
        <f>SUM($F$9:G320)+0.1</f>
        <v>376.1</v>
      </c>
      <c r="F321" s="4">
        <v>5</v>
      </c>
    </row>
    <row r="322" spans="1:6" x14ac:dyDescent="0.35">
      <c r="A322" s="1" t="s">
        <v>682</v>
      </c>
      <c r="B322">
        <v>60</v>
      </c>
      <c r="E322" s="4">
        <f>SUM($F$9:G321)+0.1</f>
        <v>381.1</v>
      </c>
      <c r="F322" s="4"/>
    </row>
    <row r="323" spans="1:6" x14ac:dyDescent="0.35">
      <c r="A323" s="1" t="s">
        <v>274</v>
      </c>
      <c r="B323">
        <v>30</v>
      </c>
      <c r="E323" s="4">
        <f>SUM($F$9:G322)+0.1</f>
        <v>381.1</v>
      </c>
      <c r="F323" s="4"/>
    </row>
    <row r="324" spans="1:6" x14ac:dyDescent="0.35">
      <c r="A324" s="1" t="s">
        <v>275</v>
      </c>
      <c r="B324">
        <v>30</v>
      </c>
      <c r="E324" s="4">
        <f>SUM($F$9:G323)+0.1</f>
        <v>381.1</v>
      </c>
      <c r="F324" s="4"/>
    </row>
    <row r="325" spans="1:6" x14ac:dyDescent="0.35">
      <c r="A325" s="1" t="s">
        <v>567</v>
      </c>
      <c r="B325">
        <v>30</v>
      </c>
      <c r="E325" s="4">
        <f>SUM($F$9:G324)+0.1</f>
        <v>381.1</v>
      </c>
      <c r="F325" s="4"/>
    </row>
    <row r="326" spans="1:6" x14ac:dyDescent="0.35">
      <c r="A326" s="1" t="s">
        <v>565</v>
      </c>
      <c r="B326">
        <v>60</v>
      </c>
      <c r="E326" s="4">
        <f>SUM($F$9:G325)+0.1</f>
        <v>381.1</v>
      </c>
      <c r="F326" s="4"/>
    </row>
    <row r="327" spans="1:6" x14ac:dyDescent="0.35">
      <c r="A327" s="1" t="s">
        <v>505</v>
      </c>
      <c r="B327">
        <v>60</v>
      </c>
      <c r="E327" s="4">
        <f>SUM($F$9:G326)+0.1</f>
        <v>381.1</v>
      </c>
      <c r="F327" s="4"/>
    </row>
    <row r="328" spans="1:6" x14ac:dyDescent="0.35">
      <c r="A328" s="1" t="s">
        <v>57</v>
      </c>
      <c r="B328">
        <v>60</v>
      </c>
      <c r="E328" s="4">
        <f>SUM($F$9:G327)+0.1</f>
        <v>381.1</v>
      </c>
      <c r="F328" s="4"/>
    </row>
    <row r="329" spans="1:6" x14ac:dyDescent="0.35">
      <c r="A329" s="1" t="s">
        <v>58</v>
      </c>
      <c r="B329">
        <v>60</v>
      </c>
      <c r="E329" s="4">
        <f>SUM($F$9:G328)+0.1</f>
        <v>381.1</v>
      </c>
      <c r="F329" s="4">
        <v>1</v>
      </c>
    </row>
    <row r="330" spans="1:6" x14ac:dyDescent="0.35">
      <c r="A330" s="1" t="s">
        <v>506</v>
      </c>
      <c r="B330">
        <v>30</v>
      </c>
      <c r="D330" t="s">
        <v>472</v>
      </c>
      <c r="E330" s="4">
        <f>SUM($F$9:G329)+0.1</f>
        <v>382.1</v>
      </c>
      <c r="F330" s="4"/>
    </row>
    <row r="331" spans="1:6" x14ac:dyDescent="0.35">
      <c r="A331" s="1" t="s">
        <v>276</v>
      </c>
      <c r="B331">
        <v>60</v>
      </c>
      <c r="C331" t="s">
        <v>903</v>
      </c>
      <c r="E331" s="4">
        <f>SUM($F$9:G330)+0.1</f>
        <v>382.1</v>
      </c>
      <c r="F331" s="4"/>
    </row>
    <row r="332" spans="1:6" x14ac:dyDescent="0.35">
      <c r="A332" s="1" t="s">
        <v>277</v>
      </c>
      <c r="B332">
        <v>60</v>
      </c>
      <c r="C332">
        <v>1</v>
      </c>
      <c r="E332" s="4">
        <f>SUM($F$9:G331)+0.1</f>
        <v>382.1</v>
      </c>
      <c r="F332" s="4"/>
    </row>
    <row r="333" spans="1:6" x14ac:dyDescent="0.35">
      <c r="A333" s="1" t="s">
        <v>684</v>
      </c>
      <c r="B333">
        <v>30</v>
      </c>
      <c r="E333" s="4">
        <f>SUM($F$9:G332)+0.1</f>
        <v>382.1</v>
      </c>
      <c r="F333" s="4"/>
    </row>
    <row r="334" spans="1:6" x14ac:dyDescent="0.35">
      <c r="A334" s="1" t="s">
        <v>1918</v>
      </c>
      <c r="E334" s="4">
        <f>SUM($F$9:G333)+0.1</f>
        <v>382.1</v>
      </c>
      <c r="F334" s="4"/>
    </row>
    <row r="335" spans="1:6" x14ac:dyDescent="0.35">
      <c r="A335" s="1" t="s">
        <v>876</v>
      </c>
      <c r="B335">
        <v>60</v>
      </c>
      <c r="E335" s="4">
        <f>SUM($F$9:G334)+0.1</f>
        <v>382.1</v>
      </c>
      <c r="F335" s="4"/>
    </row>
    <row r="336" spans="1:6" x14ac:dyDescent="0.35">
      <c r="A336" s="1" t="s">
        <v>607</v>
      </c>
      <c r="B336">
        <v>60</v>
      </c>
      <c r="E336" s="4">
        <f>SUM($F$9:G335)+0.1</f>
        <v>382.1</v>
      </c>
      <c r="F336" s="4"/>
    </row>
    <row r="337" spans="1:6" x14ac:dyDescent="0.35">
      <c r="A337" s="1" t="s">
        <v>59</v>
      </c>
      <c r="B337">
        <v>60</v>
      </c>
      <c r="E337" s="4">
        <f>SUM($F$9:G336)+0.1</f>
        <v>382.1</v>
      </c>
      <c r="F337" s="4">
        <v>5</v>
      </c>
    </row>
    <row r="338" spans="1:6" x14ac:dyDescent="0.35">
      <c r="A338" s="1" t="s">
        <v>610</v>
      </c>
      <c r="B338">
        <v>60</v>
      </c>
      <c r="E338" s="4">
        <f>SUM($F$9:G337)+0.1</f>
        <v>387.1</v>
      </c>
      <c r="F338" s="4"/>
    </row>
    <row r="339" spans="1:6" x14ac:dyDescent="0.35">
      <c r="A339" s="1" t="s">
        <v>608</v>
      </c>
      <c r="B339">
        <v>60</v>
      </c>
      <c r="E339" s="4">
        <f>SUM($F$9:G338)+0.1</f>
        <v>387.1</v>
      </c>
      <c r="F339" s="4"/>
    </row>
    <row r="340" spans="1:6" x14ac:dyDescent="0.35">
      <c r="A340" s="1" t="s">
        <v>609</v>
      </c>
      <c r="B340">
        <v>60</v>
      </c>
      <c r="E340" s="4">
        <f>SUM($F$9:G339)+0.1</f>
        <v>387.1</v>
      </c>
      <c r="F340" s="4"/>
    </row>
    <row r="341" spans="1:6" x14ac:dyDescent="0.35">
      <c r="A341" s="1" t="s">
        <v>507</v>
      </c>
      <c r="B341">
        <v>30</v>
      </c>
      <c r="E341" s="4">
        <f>SUM($F$9:G340)+0.1</f>
        <v>387.1</v>
      </c>
      <c r="F341" s="4"/>
    </row>
    <row r="342" spans="1:6" x14ac:dyDescent="0.35">
      <c r="A342" s="1" t="s">
        <v>278</v>
      </c>
      <c r="B342">
        <v>60</v>
      </c>
      <c r="E342" s="4">
        <f>SUM($F$9:G341)+0.1</f>
        <v>387.1</v>
      </c>
      <c r="F342" s="4"/>
    </row>
    <row r="343" spans="1:6" x14ac:dyDescent="0.35">
      <c r="A343" s="1" t="s">
        <v>279</v>
      </c>
      <c r="B343">
        <v>30</v>
      </c>
      <c r="E343" s="4">
        <f>SUM($F$9:G342)+0.1</f>
        <v>387.1</v>
      </c>
      <c r="F343" s="4"/>
    </row>
    <row r="344" spans="1:6" x14ac:dyDescent="0.35">
      <c r="A344" s="1" t="s">
        <v>216</v>
      </c>
      <c r="B344">
        <v>60</v>
      </c>
      <c r="E344" s="4">
        <f>SUM($F$9:G343)+0.1</f>
        <v>387.1</v>
      </c>
      <c r="F344" s="4"/>
    </row>
    <row r="345" spans="1:6" x14ac:dyDescent="0.35">
      <c r="A345" s="1" t="s">
        <v>400</v>
      </c>
      <c r="B345">
        <v>60</v>
      </c>
      <c r="E345" s="4">
        <f>SUM($F$9:G344)+0.1</f>
        <v>387.1</v>
      </c>
      <c r="F345" s="4"/>
    </row>
    <row r="346" spans="1:6" x14ac:dyDescent="0.35">
      <c r="A346" s="1" t="s">
        <v>780</v>
      </c>
      <c r="E346" s="4">
        <f>SUM($F$9:G345)+0.1</f>
        <v>387.1</v>
      </c>
      <c r="F346" s="4"/>
    </row>
    <row r="347" spans="1:6" x14ac:dyDescent="0.35">
      <c r="A347" s="1" t="s">
        <v>701</v>
      </c>
      <c r="B347">
        <v>60</v>
      </c>
      <c r="E347" s="4">
        <f>SUM($F$9:G346)+0.1</f>
        <v>387.1</v>
      </c>
      <c r="F347" s="4">
        <v>9</v>
      </c>
    </row>
    <row r="348" spans="1:6" x14ac:dyDescent="0.35">
      <c r="A348" s="1" t="s">
        <v>611</v>
      </c>
      <c r="B348">
        <v>60</v>
      </c>
      <c r="E348" s="4">
        <f>SUM($F$9:G347)+0.1</f>
        <v>396.1</v>
      </c>
      <c r="F348" s="4"/>
    </row>
    <row r="349" spans="1:6" x14ac:dyDescent="0.35">
      <c r="A349" s="1" t="s">
        <v>508</v>
      </c>
      <c r="B349">
        <v>30</v>
      </c>
      <c r="E349" s="4">
        <f>SUM($F$9:G348)+0.1</f>
        <v>396.1</v>
      </c>
      <c r="F349" s="4"/>
    </row>
    <row r="350" spans="1:6" x14ac:dyDescent="0.35">
      <c r="A350" s="1" t="s">
        <v>280</v>
      </c>
      <c r="B350">
        <v>30</v>
      </c>
      <c r="C350" t="s">
        <v>900</v>
      </c>
      <c r="E350" s="4">
        <f>SUM($F$9:G349)+0.1</f>
        <v>396.1</v>
      </c>
      <c r="F350" s="4"/>
    </row>
    <row r="351" spans="1:6" x14ac:dyDescent="0.35">
      <c r="A351" s="1" t="s">
        <v>1833</v>
      </c>
      <c r="E351" s="4">
        <f>SUM($F$9:G350)+0.1</f>
        <v>396.1</v>
      </c>
      <c r="F351" s="4"/>
    </row>
    <row r="352" spans="1:6" x14ac:dyDescent="0.35">
      <c r="A352" s="1" t="s">
        <v>803</v>
      </c>
      <c r="B352">
        <v>60</v>
      </c>
      <c r="E352" s="4">
        <f>SUM($F$9:G351)+0.1</f>
        <v>396.1</v>
      </c>
      <c r="F352" s="4"/>
    </row>
    <row r="353" spans="1:6" x14ac:dyDescent="0.35">
      <c r="A353" s="1" t="s">
        <v>685</v>
      </c>
      <c r="B353">
        <v>60</v>
      </c>
      <c r="E353" s="4">
        <f>SUM($F$9:G352)+0.1</f>
        <v>396.1</v>
      </c>
      <c r="F353" s="4"/>
    </row>
    <row r="354" spans="1:6" x14ac:dyDescent="0.35">
      <c r="A354" s="1" t="s">
        <v>281</v>
      </c>
      <c r="B354">
        <v>30</v>
      </c>
      <c r="C354" t="s">
        <v>903</v>
      </c>
      <c r="E354" s="4">
        <f>SUM($F$9:G353)+0.1</f>
        <v>396.1</v>
      </c>
      <c r="F354" s="4"/>
    </row>
    <row r="355" spans="1:6" x14ac:dyDescent="0.35">
      <c r="A355" s="1" t="s">
        <v>735</v>
      </c>
      <c r="B355">
        <v>60</v>
      </c>
      <c r="C355" t="s">
        <v>900</v>
      </c>
      <c r="E355" s="4">
        <f>SUM($F$9:G354)+0.1</f>
        <v>396.1</v>
      </c>
      <c r="F355" s="4"/>
    </row>
    <row r="356" spans="1:6" x14ac:dyDescent="0.35">
      <c r="A356" s="1" t="s">
        <v>282</v>
      </c>
      <c r="B356">
        <v>60</v>
      </c>
      <c r="C356" t="s">
        <v>900</v>
      </c>
      <c r="E356" s="4">
        <f>SUM($F$9:G355)+0.1</f>
        <v>396.1</v>
      </c>
      <c r="F356" s="4"/>
    </row>
    <row r="357" spans="1:6" x14ac:dyDescent="0.35">
      <c r="A357" s="1" t="s">
        <v>686</v>
      </c>
      <c r="B357">
        <v>60</v>
      </c>
      <c r="C357" t="s">
        <v>900</v>
      </c>
      <c r="E357" s="4">
        <f>SUM($F$9:G356)+0.1</f>
        <v>396.1</v>
      </c>
      <c r="F357" s="4"/>
    </row>
    <row r="358" spans="1:6" x14ac:dyDescent="0.35">
      <c r="A358" s="1" t="s">
        <v>283</v>
      </c>
      <c r="B358">
        <v>60</v>
      </c>
      <c r="C358" t="s">
        <v>900</v>
      </c>
      <c r="E358" s="4">
        <f>SUM($F$9:G357)+0.1</f>
        <v>396.1</v>
      </c>
      <c r="F358" s="4"/>
    </row>
    <row r="359" spans="1:6" x14ac:dyDescent="0.35">
      <c r="A359" s="1" t="s">
        <v>284</v>
      </c>
      <c r="B359">
        <v>60</v>
      </c>
      <c r="C359" t="s">
        <v>901</v>
      </c>
      <c r="E359" s="4">
        <f>SUM($F$9:G358)+0.1</f>
        <v>396.1</v>
      </c>
      <c r="F359" s="4"/>
    </row>
    <row r="360" spans="1:6" x14ac:dyDescent="0.35">
      <c r="A360" s="1" t="s">
        <v>804</v>
      </c>
      <c r="B360">
        <v>60</v>
      </c>
      <c r="E360" s="4">
        <f>SUM($F$9:G359)+0.1</f>
        <v>396.1</v>
      </c>
      <c r="F360" s="4"/>
    </row>
    <row r="361" spans="1:6" x14ac:dyDescent="0.35">
      <c r="A361" s="1" t="s">
        <v>509</v>
      </c>
      <c r="B361">
        <v>60</v>
      </c>
      <c r="E361" s="4">
        <f>SUM($F$9:G360)+0.1</f>
        <v>396.1</v>
      </c>
      <c r="F361" s="4"/>
    </row>
    <row r="362" spans="1:6" x14ac:dyDescent="0.35">
      <c r="A362" s="1" t="s">
        <v>60</v>
      </c>
      <c r="B362">
        <v>30</v>
      </c>
      <c r="E362" s="4">
        <f>SUM($F$9:G361)+0.1</f>
        <v>396.1</v>
      </c>
      <c r="F362" s="4"/>
    </row>
    <row r="363" spans="1:6" x14ac:dyDescent="0.35">
      <c r="A363" s="1" t="s">
        <v>643</v>
      </c>
      <c r="B363">
        <v>30</v>
      </c>
      <c r="E363" s="4">
        <f>SUM($F$9:G362)+0.1</f>
        <v>396.1</v>
      </c>
      <c r="F363" s="4"/>
    </row>
    <row r="364" spans="1:6" x14ac:dyDescent="0.35">
      <c r="A364" s="1" t="s">
        <v>877</v>
      </c>
      <c r="B364">
        <v>30</v>
      </c>
      <c r="E364" s="4">
        <f>SUM($F$9:G363)+0.1</f>
        <v>396.1</v>
      </c>
      <c r="F364" s="4"/>
    </row>
    <row r="365" spans="1:6" x14ac:dyDescent="0.35">
      <c r="A365" s="1" t="s">
        <v>61</v>
      </c>
      <c r="B365">
        <v>60</v>
      </c>
      <c r="E365" s="4">
        <f>SUM($F$9:G364)+0.1</f>
        <v>396.1</v>
      </c>
      <c r="F365" s="4">
        <v>5</v>
      </c>
    </row>
    <row r="366" spans="1:6" x14ac:dyDescent="0.35">
      <c r="A366" s="1" t="s">
        <v>62</v>
      </c>
      <c r="B366">
        <v>60</v>
      </c>
      <c r="E366" s="4">
        <f>SUM($F$9:G365)+0.1</f>
        <v>401.1</v>
      </c>
      <c r="F366" s="4"/>
    </row>
    <row r="367" spans="1:6" x14ac:dyDescent="0.35">
      <c r="A367" s="1" t="s">
        <v>613</v>
      </c>
      <c r="B367">
        <v>60</v>
      </c>
      <c r="C367" t="s">
        <v>900</v>
      </c>
      <c r="E367" s="4">
        <f>SUM($F$9:G366)+0.1</f>
        <v>401.1</v>
      </c>
      <c r="F367" s="4"/>
    </row>
    <row r="368" spans="1:6" x14ac:dyDescent="0.35">
      <c r="A368" s="1" t="s">
        <v>612</v>
      </c>
      <c r="B368">
        <v>60</v>
      </c>
      <c r="C368" t="s">
        <v>900</v>
      </c>
      <c r="E368" s="4">
        <f>SUM($F$9:G367)+0.1</f>
        <v>401.1</v>
      </c>
      <c r="F368" s="4"/>
    </row>
    <row r="369" spans="1:6" x14ac:dyDescent="0.35">
      <c r="A369" s="1" t="s">
        <v>285</v>
      </c>
      <c r="B369">
        <v>60</v>
      </c>
      <c r="C369" t="s">
        <v>900</v>
      </c>
      <c r="E369" s="4">
        <f>SUM($F$9:G368)+0.1</f>
        <v>401.1</v>
      </c>
      <c r="F369" s="4"/>
    </row>
    <row r="370" spans="1:6" x14ac:dyDescent="0.35">
      <c r="A370" s="1" t="s">
        <v>63</v>
      </c>
      <c r="B370">
        <v>60</v>
      </c>
      <c r="E370" s="4">
        <f>SUM($F$9:G369)+0.1</f>
        <v>401.1</v>
      </c>
      <c r="F370" s="4"/>
    </row>
    <row r="371" spans="1:6" x14ac:dyDescent="0.35">
      <c r="A371" s="1" t="s">
        <v>688</v>
      </c>
      <c r="B371">
        <v>30</v>
      </c>
      <c r="C371" t="s">
        <v>900</v>
      </c>
      <c r="E371" s="4">
        <f>SUM($F$9:G370)+0.1</f>
        <v>401.1</v>
      </c>
      <c r="F371" s="4"/>
    </row>
    <row r="372" spans="1:6" x14ac:dyDescent="0.35">
      <c r="A372" s="1" t="s">
        <v>1836</v>
      </c>
      <c r="E372" s="4">
        <f>SUM($F$9:G371)+0.1</f>
        <v>401.1</v>
      </c>
      <c r="F372" s="4"/>
    </row>
    <row r="373" spans="1:6" x14ac:dyDescent="0.35">
      <c r="A373" s="1" t="s">
        <v>687</v>
      </c>
      <c r="B373">
        <v>30</v>
      </c>
      <c r="E373" s="4">
        <f>SUM($F$9:G372)+0.1</f>
        <v>401.1</v>
      </c>
      <c r="F373" s="4"/>
    </row>
    <row r="374" spans="1:6" x14ac:dyDescent="0.35">
      <c r="A374" s="1" t="s">
        <v>614</v>
      </c>
      <c r="B374">
        <v>60</v>
      </c>
      <c r="E374" s="4">
        <f>SUM($F$9:G373)+0.1</f>
        <v>401.1</v>
      </c>
      <c r="F374" s="4"/>
    </row>
    <row r="375" spans="1:6" x14ac:dyDescent="0.35">
      <c r="A375" s="1" t="s">
        <v>286</v>
      </c>
      <c r="B375">
        <v>30</v>
      </c>
      <c r="C375">
        <v>1</v>
      </c>
      <c r="E375" s="4">
        <f>SUM($F$9:G374)+0.1</f>
        <v>401.1</v>
      </c>
      <c r="F375" s="4"/>
    </row>
    <row r="376" spans="1:6" x14ac:dyDescent="0.35">
      <c r="A376" s="1" t="s">
        <v>64</v>
      </c>
      <c r="B376">
        <v>60</v>
      </c>
      <c r="C376" t="s">
        <v>901</v>
      </c>
      <c r="E376" s="4">
        <f>SUM($F$9:G375)+0.1</f>
        <v>401.1</v>
      </c>
      <c r="F376" s="4"/>
    </row>
    <row r="377" spans="1:6" x14ac:dyDescent="0.35">
      <c r="A377" s="1" t="s">
        <v>689</v>
      </c>
      <c r="B377">
        <v>60</v>
      </c>
      <c r="C377" t="s">
        <v>901</v>
      </c>
      <c r="E377" s="4">
        <f>SUM($F$9:G376)+0.1</f>
        <v>401.1</v>
      </c>
      <c r="F377" s="4"/>
    </row>
    <row r="378" spans="1:6" x14ac:dyDescent="0.35">
      <c r="A378" s="1" t="s">
        <v>690</v>
      </c>
      <c r="B378">
        <v>30</v>
      </c>
      <c r="E378" s="4">
        <f>SUM($F$9:G377)+0.1</f>
        <v>401.1</v>
      </c>
      <c r="F378" s="4"/>
    </row>
    <row r="379" spans="1:6" x14ac:dyDescent="0.35">
      <c r="A379" s="1" t="s">
        <v>287</v>
      </c>
      <c r="B379">
        <v>60</v>
      </c>
      <c r="C379">
        <v>1</v>
      </c>
      <c r="E379" s="4">
        <f>SUM($F$9:G378)+0.1</f>
        <v>401.1</v>
      </c>
      <c r="F379" s="4"/>
    </row>
    <row r="380" spans="1:6" x14ac:dyDescent="0.35">
      <c r="A380" s="1" t="s">
        <v>288</v>
      </c>
      <c r="B380">
        <v>60</v>
      </c>
      <c r="E380" s="4">
        <f>SUM($F$9:G379)+0.1</f>
        <v>401.1</v>
      </c>
      <c r="F380" s="4"/>
    </row>
    <row r="381" spans="1:6" x14ac:dyDescent="0.35">
      <c r="A381" s="1" t="s">
        <v>644</v>
      </c>
      <c r="B381">
        <v>30</v>
      </c>
      <c r="E381" s="4">
        <f>SUM($F$9:G380)+0.1</f>
        <v>401.1</v>
      </c>
      <c r="F381" s="4"/>
    </row>
    <row r="382" spans="1:6" x14ac:dyDescent="0.35">
      <c r="A382" s="1" t="s">
        <v>168</v>
      </c>
      <c r="B382">
        <v>60</v>
      </c>
      <c r="E382" s="4">
        <f>SUM($F$9:G381)+0.1</f>
        <v>401.1</v>
      </c>
      <c r="F382" s="4"/>
    </row>
    <row r="383" spans="1:6" x14ac:dyDescent="0.35">
      <c r="A383" s="1" t="s">
        <v>289</v>
      </c>
      <c r="B383">
        <v>30</v>
      </c>
      <c r="E383" s="4">
        <f>SUM($F$9:G382)+0.1</f>
        <v>401.1</v>
      </c>
      <c r="F383" s="4"/>
    </row>
    <row r="384" spans="1:6" x14ac:dyDescent="0.35">
      <c r="A384" s="1" t="s">
        <v>65</v>
      </c>
      <c r="B384">
        <v>30</v>
      </c>
      <c r="E384" s="4">
        <f>SUM($F$9:G383)+0.1</f>
        <v>401.1</v>
      </c>
      <c r="F384" s="4">
        <v>1</v>
      </c>
    </row>
    <row r="385" spans="1:6" x14ac:dyDescent="0.35">
      <c r="A385" s="1" t="s">
        <v>290</v>
      </c>
      <c r="B385">
        <v>60</v>
      </c>
      <c r="E385" s="4">
        <f>SUM($F$9:G384)+0.1</f>
        <v>402.1</v>
      </c>
      <c r="F385" s="4"/>
    </row>
    <row r="386" spans="1:6" x14ac:dyDescent="0.35">
      <c r="A386" s="1" t="s">
        <v>781</v>
      </c>
      <c r="B386">
        <v>30</v>
      </c>
      <c r="C386" t="s">
        <v>900</v>
      </c>
      <c r="E386" s="4">
        <f>SUM($F$9:G385)+0.1</f>
        <v>402.1</v>
      </c>
      <c r="F386" s="4"/>
    </row>
    <row r="387" spans="1:6" x14ac:dyDescent="0.35">
      <c r="A387" s="1" t="s">
        <v>615</v>
      </c>
      <c r="B387">
        <v>60</v>
      </c>
      <c r="E387" s="4">
        <f>SUM($F$9:G386)+0.1</f>
        <v>402.1</v>
      </c>
      <c r="F387" s="4"/>
    </row>
    <row r="388" spans="1:6" x14ac:dyDescent="0.35">
      <c r="A388" s="1" t="s">
        <v>291</v>
      </c>
      <c r="B388">
        <v>60</v>
      </c>
      <c r="E388" s="4">
        <f>SUM($F$9:G387)+0.1</f>
        <v>402.1</v>
      </c>
      <c r="F388" s="4"/>
    </row>
    <row r="389" spans="1:6" x14ac:dyDescent="0.35">
      <c r="A389" s="1" t="s">
        <v>292</v>
      </c>
      <c r="B389">
        <v>60</v>
      </c>
      <c r="C389" t="s">
        <v>901</v>
      </c>
      <c r="E389" s="4">
        <f>SUM($F$9:G388)+0.1</f>
        <v>402.1</v>
      </c>
      <c r="F389" s="4"/>
    </row>
    <row r="390" spans="1:6" x14ac:dyDescent="0.35">
      <c r="A390" s="13" t="s">
        <v>691</v>
      </c>
      <c r="B390">
        <v>60</v>
      </c>
      <c r="C390" t="s">
        <v>901</v>
      </c>
      <c r="E390" s="4">
        <f>SUM($F$9:G389)+0.1</f>
        <v>402.1</v>
      </c>
      <c r="F390" s="4"/>
    </row>
    <row r="391" spans="1:6" x14ac:dyDescent="0.35">
      <c r="A391" s="1" t="s">
        <v>79</v>
      </c>
      <c r="E391" s="4">
        <f>SUM($F$9:G390)+0.1</f>
        <v>402.1</v>
      </c>
      <c r="F391" s="4"/>
    </row>
    <row r="392" spans="1:6" x14ac:dyDescent="0.35">
      <c r="A392" s="1" t="s">
        <v>66</v>
      </c>
      <c r="B392">
        <v>30</v>
      </c>
      <c r="E392" s="4">
        <f>SUM($F$9:G391)+0.1</f>
        <v>402.1</v>
      </c>
      <c r="F392" s="4">
        <v>1</v>
      </c>
    </row>
    <row r="393" spans="1:6" x14ac:dyDescent="0.35">
      <c r="A393" s="1" t="s">
        <v>293</v>
      </c>
      <c r="B393">
        <v>30</v>
      </c>
      <c r="E393" s="4">
        <f>SUM($F$9:G392)+0.1</f>
        <v>403.1</v>
      </c>
      <c r="F393" s="4"/>
    </row>
    <row r="394" spans="1:6" x14ac:dyDescent="0.35">
      <c r="A394" s="1" t="s">
        <v>67</v>
      </c>
      <c r="B394">
        <v>60</v>
      </c>
      <c r="E394" s="4">
        <f>SUM($F$9:G393)+0.1</f>
        <v>403.1</v>
      </c>
      <c r="F394" s="4"/>
    </row>
    <row r="395" spans="1:6" x14ac:dyDescent="0.35">
      <c r="A395" s="1" t="s">
        <v>636</v>
      </c>
      <c r="B395">
        <v>60</v>
      </c>
      <c r="E395" s="4">
        <f>SUM($F$9:G394)+0.1</f>
        <v>403.1</v>
      </c>
      <c r="F395" s="4">
        <v>5</v>
      </c>
    </row>
    <row r="396" spans="1:6" x14ac:dyDescent="0.35">
      <c r="A396" s="1" t="s">
        <v>878</v>
      </c>
      <c r="B396">
        <v>30</v>
      </c>
      <c r="E396" s="4">
        <f>SUM($F$9:G395)+0.1</f>
        <v>408.1</v>
      </c>
      <c r="F396" s="4"/>
    </row>
    <row r="397" spans="1:6" x14ac:dyDescent="0.35">
      <c r="A397" s="1" t="s">
        <v>401</v>
      </c>
      <c r="B397">
        <v>30</v>
      </c>
      <c r="E397" s="4">
        <f>SUM($F$9:G396)+0.1</f>
        <v>408.1</v>
      </c>
      <c r="F397" s="4"/>
    </row>
    <row r="398" spans="1:6" x14ac:dyDescent="0.35">
      <c r="A398" s="1" t="s">
        <v>294</v>
      </c>
      <c r="B398">
        <v>60</v>
      </c>
      <c r="E398" s="4">
        <f>SUM($F$9:G397)+0.1</f>
        <v>408.1</v>
      </c>
      <c r="F398" s="4">
        <v>1</v>
      </c>
    </row>
    <row r="399" spans="1:6" x14ac:dyDescent="0.35">
      <c r="A399" s="1" t="s">
        <v>616</v>
      </c>
      <c r="B399">
        <v>30</v>
      </c>
      <c r="E399" s="4">
        <f>SUM($F$9:G398)+0.1</f>
        <v>409.1</v>
      </c>
      <c r="F399" s="4"/>
    </row>
    <row r="400" spans="1:6" x14ac:dyDescent="0.35">
      <c r="A400" s="1" t="s">
        <v>617</v>
      </c>
      <c r="B400">
        <v>30</v>
      </c>
      <c r="E400" s="4">
        <f>SUM($F$9:G399)+0.1</f>
        <v>409.1</v>
      </c>
      <c r="F400" s="4"/>
    </row>
    <row r="401" spans="1:6" x14ac:dyDescent="0.35">
      <c r="A401" s="1" t="s">
        <v>295</v>
      </c>
      <c r="B401">
        <v>60</v>
      </c>
      <c r="C401" t="s">
        <v>900</v>
      </c>
      <c r="E401" s="4">
        <f>SUM($F$9:G400)+0.1</f>
        <v>409.1</v>
      </c>
      <c r="F401" s="4"/>
    </row>
    <row r="402" spans="1:6" x14ac:dyDescent="0.35">
      <c r="A402" s="1" t="s">
        <v>879</v>
      </c>
      <c r="B402">
        <v>60</v>
      </c>
      <c r="E402" s="4">
        <f>SUM($F$9:G401)+0.1</f>
        <v>409.1</v>
      </c>
      <c r="F402" s="4"/>
    </row>
    <row r="403" spans="1:6" x14ac:dyDescent="0.35">
      <c r="A403" s="1" t="s">
        <v>887</v>
      </c>
      <c r="B403">
        <v>30</v>
      </c>
      <c r="C403" t="s">
        <v>903</v>
      </c>
      <c r="E403" s="4">
        <f>SUM($F$9:G402)+0.1</f>
        <v>409.1</v>
      </c>
      <c r="F403" s="4"/>
    </row>
    <row r="404" spans="1:6" x14ac:dyDescent="0.35">
      <c r="A404" s="1" t="s">
        <v>80</v>
      </c>
      <c r="E404" s="4">
        <f>SUM($F$9:G403)+0.1</f>
        <v>409.1</v>
      </c>
      <c r="F404" s="4"/>
    </row>
    <row r="405" spans="1:6" x14ac:dyDescent="0.35">
      <c r="A405" s="1" t="s">
        <v>68</v>
      </c>
      <c r="B405">
        <v>30</v>
      </c>
      <c r="E405" s="4">
        <f>SUM($F$9:G404)+0.1</f>
        <v>409.1</v>
      </c>
      <c r="F405" s="4"/>
    </row>
    <row r="406" spans="1:6" x14ac:dyDescent="0.35">
      <c r="A406" s="1" t="s">
        <v>692</v>
      </c>
      <c r="B406">
        <v>60</v>
      </c>
      <c r="C406">
        <v>1</v>
      </c>
      <c r="E406" s="4">
        <f>SUM($F$9:G405)+0.1</f>
        <v>409.1</v>
      </c>
      <c r="F406" s="4"/>
    </row>
    <row r="407" spans="1:6" x14ac:dyDescent="0.35">
      <c r="A407" s="1" t="s">
        <v>782</v>
      </c>
      <c r="B407">
        <v>60</v>
      </c>
      <c r="C407" t="s">
        <v>900</v>
      </c>
      <c r="E407" s="4">
        <f>SUM($F$9:G406)+0.1</f>
        <v>409.1</v>
      </c>
      <c r="F407" s="4"/>
    </row>
    <row r="408" spans="1:6" x14ac:dyDescent="0.35">
      <c r="A408" s="1" t="s">
        <v>888</v>
      </c>
      <c r="B408">
        <v>30</v>
      </c>
      <c r="E408" s="4">
        <f>SUM($F$9:G407)+0.1</f>
        <v>409.1</v>
      </c>
      <c r="F408" s="4"/>
    </row>
    <row r="409" spans="1:6" x14ac:dyDescent="0.35">
      <c r="A409" s="1" t="s">
        <v>618</v>
      </c>
      <c r="B409">
        <v>60</v>
      </c>
      <c r="C409" t="s">
        <v>900</v>
      </c>
      <c r="E409" s="4">
        <f>SUM($F$9:G408)+0.1</f>
        <v>409.1</v>
      </c>
      <c r="F409" s="4"/>
    </row>
    <row r="410" spans="1:6" x14ac:dyDescent="0.35">
      <c r="A410" s="1" t="s">
        <v>736</v>
      </c>
      <c r="B410">
        <v>30</v>
      </c>
      <c r="C410" t="s">
        <v>900</v>
      </c>
      <c r="E410" s="4">
        <f>SUM($F$9:G409)+0.1</f>
        <v>409.1</v>
      </c>
      <c r="F410" s="4"/>
    </row>
    <row r="411" spans="1:6" x14ac:dyDescent="0.35">
      <c r="A411" s="1" t="s">
        <v>693</v>
      </c>
      <c r="B411">
        <v>30</v>
      </c>
      <c r="C411" t="s">
        <v>903</v>
      </c>
      <c r="E411" s="4">
        <f>SUM($F$9:G410)+0.1</f>
        <v>409.1</v>
      </c>
      <c r="F411" s="4"/>
    </row>
    <row r="412" spans="1:6" x14ac:dyDescent="0.35">
      <c r="A412" s="1" t="s">
        <v>850</v>
      </c>
      <c r="B412">
        <v>60</v>
      </c>
      <c r="C412" t="s">
        <v>900</v>
      </c>
      <c r="E412" s="4">
        <f>SUM($F$9:G411)+0.1</f>
        <v>409.1</v>
      </c>
      <c r="F412" s="4"/>
    </row>
    <row r="413" spans="1:6" x14ac:dyDescent="0.35">
      <c r="A413" s="1" t="s">
        <v>694</v>
      </c>
      <c r="B413">
        <v>60</v>
      </c>
      <c r="E413" s="4">
        <f>SUM($F$9:G412)+0.1</f>
        <v>409.1</v>
      </c>
      <c r="F413" s="4"/>
    </row>
    <row r="414" spans="1:6" x14ac:dyDescent="0.35">
      <c r="A414" s="1" t="s">
        <v>69</v>
      </c>
      <c r="B414">
        <v>60</v>
      </c>
      <c r="E414" s="4">
        <f>SUM($F$9:G413)+0.1</f>
        <v>409.1</v>
      </c>
      <c r="F414" s="4">
        <v>8</v>
      </c>
    </row>
    <row r="415" spans="1:6" x14ac:dyDescent="0.35">
      <c r="A415" s="1" t="s">
        <v>213</v>
      </c>
      <c r="B415">
        <v>60</v>
      </c>
      <c r="E415" s="4">
        <f>SUM($F$9:G414)+0.1</f>
        <v>417.1</v>
      </c>
      <c r="F415" s="4"/>
    </row>
    <row r="416" spans="1:6" x14ac:dyDescent="0.35">
      <c r="A416" s="1" t="s">
        <v>338</v>
      </c>
      <c r="B416">
        <v>60</v>
      </c>
      <c r="C416" t="s">
        <v>900</v>
      </c>
      <c r="E416" s="4">
        <f>SUM($F$9:G415)+0.1</f>
        <v>417.1</v>
      </c>
      <c r="F416" s="4"/>
    </row>
    <row r="417" spans="1:6" x14ac:dyDescent="0.35">
      <c r="A417" s="1" t="s">
        <v>70</v>
      </c>
      <c r="B417">
        <v>60</v>
      </c>
      <c r="C417" t="s">
        <v>901</v>
      </c>
      <c r="E417" s="4">
        <f>SUM($F$9:G416)+0.1</f>
        <v>417.1</v>
      </c>
      <c r="F417" s="4"/>
    </row>
    <row r="418" spans="1:6" x14ac:dyDescent="0.35">
      <c r="A418" s="1" t="s">
        <v>296</v>
      </c>
      <c r="B418">
        <v>30</v>
      </c>
      <c r="C418" t="s">
        <v>903</v>
      </c>
      <c r="E418" s="4">
        <f>SUM($F$9:G417)+0.1</f>
        <v>417.1</v>
      </c>
      <c r="F418" s="4"/>
    </row>
    <row r="419" spans="1:6" x14ac:dyDescent="0.35">
      <c r="A419" s="1" t="s">
        <v>71</v>
      </c>
      <c r="B419">
        <v>30</v>
      </c>
      <c r="E419" s="4">
        <f>SUM($F$9:G418)+0.1</f>
        <v>417.1</v>
      </c>
      <c r="F419" s="4"/>
    </row>
    <row r="420" spans="1:6" x14ac:dyDescent="0.35">
      <c r="A420" s="1" t="s">
        <v>297</v>
      </c>
      <c r="B420">
        <v>60</v>
      </c>
      <c r="C420" t="s">
        <v>900</v>
      </c>
      <c r="E420" s="4">
        <f>SUM($F$9:G419)+0.1</f>
        <v>417.1</v>
      </c>
      <c r="F420" s="4"/>
    </row>
    <row r="421" spans="1:6" x14ac:dyDescent="0.35">
      <c r="A421" s="1" t="s">
        <v>298</v>
      </c>
      <c r="B421">
        <v>60</v>
      </c>
      <c r="E421" s="4">
        <f>SUM($F$9:G420)+0.1</f>
        <v>417.1</v>
      </c>
      <c r="F421" s="4">
        <v>25</v>
      </c>
    </row>
    <row r="422" spans="1:6" x14ac:dyDescent="0.35">
      <c r="A422" s="1" t="s">
        <v>852</v>
      </c>
      <c r="B422">
        <v>30</v>
      </c>
      <c r="E422" s="4">
        <f>SUM($F$9:G421)+0.1</f>
        <v>442.1</v>
      </c>
      <c r="F422" s="4"/>
    </row>
    <row r="423" spans="1:6" x14ac:dyDescent="0.35">
      <c r="A423" s="1" t="s">
        <v>299</v>
      </c>
      <c r="B423">
        <v>30</v>
      </c>
      <c r="E423" s="4">
        <f>SUM($F$9:G422)+0.1</f>
        <v>442.1</v>
      </c>
      <c r="F423" s="4"/>
    </row>
    <row r="424" spans="1:6" x14ac:dyDescent="0.35">
      <c r="A424" s="1" t="s">
        <v>510</v>
      </c>
      <c r="B424">
        <v>60</v>
      </c>
      <c r="C424" t="s">
        <v>901</v>
      </c>
      <c r="E424" s="4">
        <f>SUM($F$9:G423)+0.1</f>
        <v>442.1</v>
      </c>
      <c r="F424" s="4"/>
    </row>
    <row r="425" spans="1:6" x14ac:dyDescent="0.35">
      <c r="A425" s="1" t="s">
        <v>72</v>
      </c>
      <c r="B425">
        <v>30</v>
      </c>
      <c r="E425" s="4">
        <f>SUM($F$9:G424)+0.1</f>
        <v>442.1</v>
      </c>
      <c r="F425" s="4"/>
    </row>
    <row r="426" spans="1:6" x14ac:dyDescent="0.35">
      <c r="A426" s="1" t="s">
        <v>511</v>
      </c>
      <c r="B426">
        <v>30</v>
      </c>
      <c r="E426" s="4">
        <f>SUM($F$9:G425)+0.1</f>
        <v>442.1</v>
      </c>
      <c r="F426" s="4"/>
    </row>
    <row r="427" spans="1:6" x14ac:dyDescent="0.35">
      <c r="A427" s="1" t="s">
        <v>851</v>
      </c>
      <c r="B427">
        <v>60</v>
      </c>
      <c r="E427" s="4">
        <f>SUM($F$9:G426)+0.1</f>
        <v>442.1</v>
      </c>
      <c r="F427" s="4"/>
    </row>
    <row r="428" spans="1:6" x14ac:dyDescent="0.35">
      <c r="A428" s="1" t="s">
        <v>197</v>
      </c>
      <c r="B428">
        <v>60</v>
      </c>
      <c r="E428" s="4">
        <f>SUM($F$9:G427)+0.1</f>
        <v>442.1</v>
      </c>
      <c r="F428" s="4"/>
    </row>
    <row r="429" spans="1:6" x14ac:dyDescent="0.35">
      <c r="A429" s="1" t="s">
        <v>737</v>
      </c>
      <c r="B429">
        <v>60</v>
      </c>
      <c r="E429" s="4">
        <f>SUM($F$9:G428)+0.1</f>
        <v>442.1</v>
      </c>
      <c r="F429" s="4">
        <v>5</v>
      </c>
    </row>
    <row r="430" spans="1:6" x14ac:dyDescent="0.35">
      <c r="A430" s="1" t="s">
        <v>402</v>
      </c>
      <c r="B430">
        <v>30</v>
      </c>
      <c r="E430" s="4">
        <f>SUM($F$9:G429)+0.1</f>
        <v>447.1</v>
      </c>
      <c r="F430" s="4"/>
    </row>
    <row r="431" spans="1:6" x14ac:dyDescent="0.35">
      <c r="A431" s="1" t="s">
        <v>512</v>
      </c>
      <c r="B431">
        <v>60</v>
      </c>
      <c r="E431" s="4">
        <f>SUM($F$9:G430)+0.1</f>
        <v>447.1</v>
      </c>
      <c r="F431" s="4"/>
    </row>
    <row r="432" spans="1:6" x14ac:dyDescent="0.35">
      <c r="A432" s="1" t="s">
        <v>738</v>
      </c>
      <c r="B432">
        <v>60</v>
      </c>
      <c r="C432" t="s">
        <v>900</v>
      </c>
      <c r="E432" s="4">
        <f>SUM($F$9:G431)+0.1</f>
        <v>447.1</v>
      </c>
      <c r="F432" s="4"/>
    </row>
    <row r="433" spans="1:6" x14ac:dyDescent="0.35">
      <c r="A433" s="1" t="s">
        <v>300</v>
      </c>
      <c r="B433">
        <v>30</v>
      </c>
      <c r="E433" s="4">
        <f>SUM($F$9:G432)+0.1</f>
        <v>447.1</v>
      </c>
      <c r="F433" s="4"/>
    </row>
    <row r="434" spans="1:6" x14ac:dyDescent="0.35">
      <c r="A434" s="1" t="s">
        <v>160</v>
      </c>
      <c r="B434">
        <v>60</v>
      </c>
      <c r="C434" t="s">
        <v>901</v>
      </c>
      <c r="E434" s="4">
        <f>SUM($F$9:G433)+0.1</f>
        <v>447.1</v>
      </c>
      <c r="F434" s="4"/>
    </row>
    <row r="435" spans="1:6" x14ac:dyDescent="0.35">
      <c r="A435" s="1" t="s">
        <v>739</v>
      </c>
      <c r="B435">
        <v>60</v>
      </c>
      <c r="C435" t="s">
        <v>900</v>
      </c>
      <c r="E435" s="4">
        <f>SUM($F$9:G434)+0.1</f>
        <v>447.1</v>
      </c>
      <c r="F435" s="4"/>
    </row>
    <row r="436" spans="1:6" x14ac:dyDescent="0.35">
      <c r="A436" s="1" t="s">
        <v>783</v>
      </c>
      <c r="B436">
        <v>60</v>
      </c>
      <c r="C436" t="s">
        <v>900</v>
      </c>
      <c r="E436" s="4">
        <f>SUM($F$9:G435)+0.1</f>
        <v>447.1</v>
      </c>
      <c r="F436" s="4"/>
    </row>
    <row r="437" spans="1:6" x14ac:dyDescent="0.35">
      <c r="A437" s="1" t="s">
        <v>187</v>
      </c>
      <c r="B437">
        <v>60</v>
      </c>
      <c r="E437" s="4">
        <f>SUM($F$9:G436)+0.1</f>
        <v>447.1</v>
      </c>
      <c r="F437" s="4"/>
    </row>
    <row r="438" spans="1:6" x14ac:dyDescent="0.35">
      <c r="A438" s="1" t="s">
        <v>1915</v>
      </c>
      <c r="E438" s="4">
        <f>SUM($F$9:G437)+0.1</f>
        <v>447.1</v>
      </c>
      <c r="F438" s="4"/>
    </row>
    <row r="439" spans="1:6" x14ac:dyDescent="0.35">
      <c r="A439" s="1" t="s">
        <v>301</v>
      </c>
      <c r="B439">
        <v>60</v>
      </c>
      <c r="C439" t="s">
        <v>900</v>
      </c>
      <c r="E439" s="4">
        <f>SUM($F$9:G438)+0.1</f>
        <v>447.1</v>
      </c>
      <c r="F439" s="4"/>
    </row>
    <row r="440" spans="1:6" x14ac:dyDescent="0.35">
      <c r="A440" s="1" t="s">
        <v>740</v>
      </c>
      <c r="B440">
        <v>30</v>
      </c>
      <c r="E440" s="4">
        <f>SUM($F$9:G439)+0.1</f>
        <v>447.1</v>
      </c>
      <c r="F440" s="4"/>
    </row>
    <row r="441" spans="1:6" x14ac:dyDescent="0.35">
      <c r="A441" s="1" t="s">
        <v>302</v>
      </c>
      <c r="B441">
        <v>60</v>
      </c>
      <c r="C441" t="s">
        <v>900</v>
      </c>
      <c r="E441" s="4">
        <f>SUM($F$9:G440)+0.1</f>
        <v>447.1</v>
      </c>
      <c r="F441" s="4"/>
    </row>
    <row r="442" spans="1:6" x14ac:dyDescent="0.35">
      <c r="A442" s="1" t="s">
        <v>403</v>
      </c>
      <c r="B442">
        <v>60</v>
      </c>
      <c r="C442" t="s">
        <v>900</v>
      </c>
      <c r="E442" s="4">
        <f>SUM($F$9:G441)+0.1</f>
        <v>447.1</v>
      </c>
      <c r="F442" s="4"/>
    </row>
    <row r="443" spans="1:6" x14ac:dyDescent="0.35">
      <c r="A443" s="1" t="s">
        <v>834</v>
      </c>
      <c r="B443">
        <v>60</v>
      </c>
      <c r="C443">
        <v>1</v>
      </c>
      <c r="E443" s="4">
        <f>SUM($F$9:G442)+0.1</f>
        <v>447.1</v>
      </c>
      <c r="F443" s="4"/>
    </row>
    <row r="444" spans="1:6" x14ac:dyDescent="0.35">
      <c r="A444" s="1" t="s">
        <v>404</v>
      </c>
      <c r="B444">
        <v>60</v>
      </c>
      <c r="E444" s="4">
        <f>SUM($F$9:G443)+0.1</f>
        <v>447.1</v>
      </c>
      <c r="F444" s="4"/>
    </row>
    <row r="445" spans="1:6" x14ac:dyDescent="0.35">
      <c r="A445" s="1" t="s">
        <v>569</v>
      </c>
      <c r="B445">
        <v>30</v>
      </c>
      <c r="E445" s="4">
        <f>SUM($F$9:G444)+0.1</f>
        <v>447.1</v>
      </c>
      <c r="F445" s="4"/>
    </row>
    <row r="446" spans="1:6" x14ac:dyDescent="0.35">
      <c r="A446" s="1" t="s">
        <v>513</v>
      </c>
      <c r="B446">
        <v>30</v>
      </c>
      <c r="E446" s="4">
        <f>SUM($F$9:G445)+0.1</f>
        <v>447.1</v>
      </c>
      <c r="F446" s="4"/>
    </row>
    <row r="447" spans="1:6" x14ac:dyDescent="0.35">
      <c r="A447" s="1" t="s">
        <v>741</v>
      </c>
      <c r="B447">
        <v>60</v>
      </c>
      <c r="C447" t="s">
        <v>900</v>
      </c>
      <c r="E447" s="4">
        <f>SUM($F$9:G446)+0.1</f>
        <v>447.1</v>
      </c>
      <c r="F447" s="4"/>
    </row>
    <row r="448" spans="1:6" x14ac:dyDescent="0.35">
      <c r="A448" s="1" t="s">
        <v>742</v>
      </c>
      <c r="B448">
        <v>60</v>
      </c>
      <c r="E448" s="4">
        <f>SUM($F$9:G447)+0.1</f>
        <v>447.1</v>
      </c>
      <c r="F448" s="4"/>
    </row>
    <row r="449" spans="1:6" x14ac:dyDescent="0.35">
      <c r="A449" s="1" t="s">
        <v>743</v>
      </c>
      <c r="B449">
        <v>60</v>
      </c>
      <c r="E449" s="4">
        <f>SUM($F$9:G448)+0.1</f>
        <v>447.1</v>
      </c>
      <c r="F449" s="4"/>
    </row>
    <row r="450" spans="1:6" x14ac:dyDescent="0.35">
      <c r="A450" s="1" t="s">
        <v>835</v>
      </c>
      <c r="B450">
        <v>60</v>
      </c>
      <c r="E450" s="4">
        <f>SUM($F$9:G449)+0.1</f>
        <v>447.1</v>
      </c>
      <c r="F450" s="4"/>
    </row>
    <row r="451" spans="1:6" x14ac:dyDescent="0.35">
      <c r="A451" s="1" t="s">
        <v>645</v>
      </c>
      <c r="B451">
        <v>60</v>
      </c>
      <c r="E451" s="4">
        <f>SUM($F$9:G450)+0.1</f>
        <v>447.1</v>
      </c>
      <c r="F451" s="4"/>
    </row>
    <row r="452" spans="1:6" x14ac:dyDescent="0.35">
      <c r="A452" s="1" t="s">
        <v>853</v>
      </c>
      <c r="B452">
        <v>60</v>
      </c>
      <c r="E452" s="4">
        <f>SUM($F$9:G451)+0.1</f>
        <v>447.1</v>
      </c>
      <c r="F452" s="4"/>
    </row>
    <row r="453" spans="1:6" x14ac:dyDescent="0.35">
      <c r="A453" s="1" t="s">
        <v>854</v>
      </c>
      <c r="B453">
        <v>60</v>
      </c>
      <c r="E453" s="4">
        <f>SUM($F$9:G452)+0.1</f>
        <v>447.1</v>
      </c>
      <c r="F453" s="4"/>
    </row>
    <row r="454" spans="1:6" x14ac:dyDescent="0.35">
      <c r="A454" s="1" t="s">
        <v>855</v>
      </c>
      <c r="B454">
        <v>60</v>
      </c>
      <c r="E454" s="4">
        <f>SUM($F$9:G453)+0.1</f>
        <v>447.1</v>
      </c>
      <c r="F454" s="4"/>
    </row>
    <row r="455" spans="1:6" x14ac:dyDescent="0.35">
      <c r="A455" s="1" t="s">
        <v>514</v>
      </c>
      <c r="B455">
        <v>60</v>
      </c>
      <c r="E455" s="4">
        <f>SUM($F$9:G454)+0.1</f>
        <v>447.1</v>
      </c>
      <c r="F455" s="4"/>
    </row>
    <row r="456" spans="1:6" x14ac:dyDescent="0.35">
      <c r="A456" s="1" t="s">
        <v>695</v>
      </c>
      <c r="B456">
        <v>60</v>
      </c>
      <c r="C456" t="s">
        <v>900</v>
      </c>
      <c r="E456" s="4">
        <f>SUM($F$9:G455)+0.1</f>
        <v>447.1</v>
      </c>
      <c r="F456" s="4"/>
    </row>
    <row r="457" spans="1:6" x14ac:dyDescent="0.35">
      <c r="A457" s="1" t="s">
        <v>73</v>
      </c>
      <c r="B457">
        <v>60</v>
      </c>
      <c r="E457" s="4">
        <f>SUM($F$9:G456)+0.1</f>
        <v>447.1</v>
      </c>
      <c r="F457" s="4"/>
    </row>
    <row r="458" spans="1:6" x14ac:dyDescent="0.35">
      <c r="A458" s="1" t="s">
        <v>515</v>
      </c>
      <c r="B458">
        <v>60</v>
      </c>
      <c r="E458" s="4">
        <f>SUM($F$9:G457)+0.1</f>
        <v>447.1</v>
      </c>
      <c r="F458" s="4"/>
    </row>
    <row r="459" spans="1:6" x14ac:dyDescent="0.35">
      <c r="A459" s="1" t="s">
        <v>516</v>
      </c>
      <c r="B459">
        <v>30</v>
      </c>
      <c r="E459" s="4">
        <f>SUM($F$9:G458)+0.1</f>
        <v>447.1</v>
      </c>
      <c r="F459" s="4"/>
    </row>
    <row r="460" spans="1:6" x14ac:dyDescent="0.35">
      <c r="A460" s="1" t="s">
        <v>805</v>
      </c>
      <c r="B460">
        <v>60</v>
      </c>
      <c r="C460" t="s">
        <v>901</v>
      </c>
      <c r="E460" s="4">
        <f>SUM($F$9:G459)+0.1</f>
        <v>447.1</v>
      </c>
      <c r="F460" s="4"/>
    </row>
    <row r="461" spans="1:6" x14ac:dyDescent="0.35">
      <c r="A461" s="1" t="s">
        <v>517</v>
      </c>
      <c r="B461">
        <v>30</v>
      </c>
      <c r="E461" s="4">
        <f>SUM($F$9:G460)+0.1</f>
        <v>447.1</v>
      </c>
      <c r="F461" s="4">
        <v>1</v>
      </c>
    </row>
    <row r="462" spans="1:6" x14ac:dyDescent="0.35">
      <c r="A462" s="1" t="s">
        <v>646</v>
      </c>
      <c r="B462">
        <v>60</v>
      </c>
      <c r="E462" s="4">
        <f>SUM($F$9:G461)+0.1</f>
        <v>448.1</v>
      </c>
      <c r="F462" s="4"/>
    </row>
    <row r="463" spans="1:6" x14ac:dyDescent="0.35">
      <c r="A463" s="1" t="s">
        <v>518</v>
      </c>
      <c r="B463">
        <v>60</v>
      </c>
      <c r="E463" s="4">
        <f>SUM($F$9:G462)+0.1</f>
        <v>448.1</v>
      </c>
      <c r="F463" s="4"/>
    </row>
    <row r="464" spans="1:6" x14ac:dyDescent="0.35">
      <c r="A464" s="1" t="s">
        <v>696</v>
      </c>
      <c r="B464">
        <v>60</v>
      </c>
      <c r="C464" t="s">
        <v>900</v>
      </c>
      <c r="E464" s="4">
        <f>SUM($F$9:G463)+0.1</f>
        <v>448.1</v>
      </c>
      <c r="F464" s="4"/>
    </row>
    <row r="465" spans="1:6" x14ac:dyDescent="0.35">
      <c r="A465" s="1" t="s">
        <v>519</v>
      </c>
      <c r="B465">
        <v>30</v>
      </c>
      <c r="E465" s="4">
        <f>SUM($F$9:G464)+0.1</f>
        <v>448.1</v>
      </c>
      <c r="F465" s="4"/>
    </row>
    <row r="466" spans="1:6" x14ac:dyDescent="0.35">
      <c r="A466" s="1" t="s">
        <v>303</v>
      </c>
      <c r="B466">
        <v>60</v>
      </c>
      <c r="C466" t="s">
        <v>900</v>
      </c>
      <c r="E466" s="4">
        <f>SUM($F$9:G465)+0.1</f>
        <v>448.1</v>
      </c>
      <c r="F466" s="4"/>
    </row>
    <row r="467" spans="1:6" x14ac:dyDescent="0.35">
      <c r="A467" s="1" t="s">
        <v>520</v>
      </c>
      <c r="B467">
        <v>30</v>
      </c>
      <c r="E467" s="4">
        <f>SUM($F$9:G466)+0.1</f>
        <v>448.1</v>
      </c>
      <c r="F467" s="4"/>
    </row>
    <row r="468" spans="1:6" x14ac:dyDescent="0.35">
      <c r="A468" s="1" t="s">
        <v>304</v>
      </c>
      <c r="B468">
        <v>60</v>
      </c>
      <c r="C468" t="s">
        <v>900</v>
      </c>
      <c r="E468" s="4">
        <f>SUM($F$9:G467)+0.1</f>
        <v>448.1</v>
      </c>
      <c r="F468" s="4"/>
    </row>
    <row r="469" spans="1:6" x14ac:dyDescent="0.35">
      <c r="A469" s="1" t="s">
        <v>305</v>
      </c>
      <c r="B469">
        <v>60</v>
      </c>
      <c r="E469" s="4">
        <f>SUM($F$9:G468)+0.1</f>
        <v>448.1</v>
      </c>
      <c r="F469" s="4"/>
    </row>
    <row r="470" spans="1:6" x14ac:dyDescent="0.35">
      <c r="A470" s="1" t="s">
        <v>880</v>
      </c>
      <c r="B470">
        <v>60</v>
      </c>
      <c r="E470" s="4">
        <f>SUM($F$9:G469)+0.1</f>
        <v>448.1</v>
      </c>
      <c r="F470" s="4"/>
    </row>
    <row r="471" spans="1:6" x14ac:dyDescent="0.35">
      <c r="A471" s="1" t="s">
        <v>405</v>
      </c>
      <c r="B471">
        <v>60</v>
      </c>
      <c r="E471" s="4">
        <f>SUM($F$9:G470)+0.1</f>
        <v>448.1</v>
      </c>
      <c r="F471" s="4"/>
    </row>
    <row r="472" spans="1:6" x14ac:dyDescent="0.35">
      <c r="A472" s="1" t="s">
        <v>1910</v>
      </c>
      <c r="E472" s="4">
        <f>SUM($F$9:G471)+0.1</f>
        <v>448.1</v>
      </c>
      <c r="F472" s="4"/>
    </row>
    <row r="473" spans="1:6" x14ac:dyDescent="0.35">
      <c r="A473" s="1" t="s">
        <v>806</v>
      </c>
      <c r="B473">
        <v>30</v>
      </c>
      <c r="C473" t="s">
        <v>903</v>
      </c>
      <c r="E473" s="4">
        <f>SUM($F$9:G472)+0.1</f>
        <v>448.1</v>
      </c>
      <c r="F473" s="4"/>
    </row>
    <row r="474" spans="1:6" x14ac:dyDescent="0.35">
      <c r="A474" s="1" t="s">
        <v>306</v>
      </c>
      <c r="B474">
        <v>30</v>
      </c>
      <c r="E474" s="4">
        <f>SUM($F$9:G473)+0.1</f>
        <v>448.1</v>
      </c>
      <c r="F474" s="4"/>
    </row>
    <row r="475" spans="1:6" x14ac:dyDescent="0.35">
      <c r="A475" s="1" t="s">
        <v>307</v>
      </c>
      <c r="B475">
        <v>30</v>
      </c>
      <c r="E475" s="4">
        <f>SUM($F$9:G474)+0.1</f>
        <v>448.1</v>
      </c>
      <c r="F475" s="4"/>
    </row>
    <row r="476" spans="1:6" x14ac:dyDescent="0.35">
      <c r="A476" s="1" t="s">
        <v>308</v>
      </c>
      <c r="B476">
        <v>60</v>
      </c>
      <c r="E476" s="4">
        <f>SUM($F$9:G475)+0.1</f>
        <v>448.1</v>
      </c>
      <c r="F476" s="4"/>
    </row>
    <row r="477" spans="1:6" x14ac:dyDescent="0.35">
      <c r="A477" s="1" t="s">
        <v>309</v>
      </c>
      <c r="B477">
        <v>60</v>
      </c>
      <c r="E477" s="4">
        <f>SUM($F$9:G476)+0.1</f>
        <v>448.1</v>
      </c>
      <c r="F477" s="4"/>
    </row>
    <row r="478" spans="1:6" x14ac:dyDescent="0.35">
      <c r="A478" s="1" t="s">
        <v>697</v>
      </c>
      <c r="B478">
        <v>60</v>
      </c>
      <c r="E478" s="4">
        <f>SUM($F$9:G477)+0.1</f>
        <v>448.1</v>
      </c>
      <c r="F478" s="4"/>
    </row>
    <row r="479" spans="1:6" x14ac:dyDescent="0.35">
      <c r="A479" s="1" t="s">
        <v>199</v>
      </c>
      <c r="E479" s="4">
        <f>SUM($F$9:G478)+0.1</f>
        <v>448.1</v>
      </c>
      <c r="F479" s="4"/>
    </row>
    <row r="480" spans="1:6" x14ac:dyDescent="0.35">
      <c r="A480" s="1" t="s">
        <v>310</v>
      </c>
      <c r="B480">
        <v>60</v>
      </c>
      <c r="E480" s="4">
        <f>SUM($F$9:G479)+0.1</f>
        <v>448.1</v>
      </c>
      <c r="F480" s="4">
        <v>1</v>
      </c>
    </row>
    <row r="481" spans="1:6" x14ac:dyDescent="0.35">
      <c r="A481" s="1" t="s">
        <v>568</v>
      </c>
      <c r="B481">
        <v>60</v>
      </c>
      <c r="C481" t="s">
        <v>901</v>
      </c>
      <c r="E481" s="4">
        <f>SUM($F$9:G480)+0.1</f>
        <v>449.1</v>
      </c>
      <c r="F481" s="4"/>
    </row>
    <row r="482" spans="1:6" x14ac:dyDescent="0.35">
      <c r="A482" s="1" t="s">
        <v>807</v>
      </c>
      <c r="B482">
        <v>30</v>
      </c>
      <c r="E482" s="4">
        <f>SUM($F$9:G481)+0.1</f>
        <v>449.1</v>
      </c>
      <c r="F482" s="4"/>
    </row>
    <row r="483" spans="1:6" x14ac:dyDescent="0.35">
      <c r="A483" s="1" t="s">
        <v>186</v>
      </c>
      <c r="B483">
        <v>60</v>
      </c>
      <c r="D483" t="s">
        <v>910</v>
      </c>
      <c r="E483" s="4">
        <f>SUM($F$9:G482)+0.1</f>
        <v>449.1</v>
      </c>
      <c r="F483" s="4"/>
    </row>
    <row r="484" spans="1:6" x14ac:dyDescent="0.35">
      <c r="A484" s="1" t="s">
        <v>619</v>
      </c>
      <c r="B484">
        <v>30</v>
      </c>
      <c r="C484" t="s">
        <v>903</v>
      </c>
      <c r="E484" s="4">
        <f>SUM($F$9:G483)+0.1</f>
        <v>449.1</v>
      </c>
      <c r="F484" s="4"/>
    </row>
    <row r="485" spans="1:6" x14ac:dyDescent="0.35">
      <c r="A485" s="1" t="s">
        <v>620</v>
      </c>
      <c r="B485">
        <v>60</v>
      </c>
      <c r="C485" t="s">
        <v>900</v>
      </c>
      <c r="E485" s="4">
        <f>SUM($F$9:G484)+0.1</f>
        <v>449.1</v>
      </c>
      <c r="F485" s="4"/>
    </row>
    <row r="486" spans="1:6" x14ac:dyDescent="0.35">
      <c r="A486" s="1" t="s">
        <v>311</v>
      </c>
      <c r="B486">
        <v>30</v>
      </c>
      <c r="E486" s="4">
        <f>SUM($F$9:G485)+0.1</f>
        <v>449.1</v>
      </c>
      <c r="F486" s="4"/>
    </row>
    <row r="487" spans="1:6" x14ac:dyDescent="0.35">
      <c r="A487" s="1" t="s">
        <v>74</v>
      </c>
      <c r="B487">
        <v>60</v>
      </c>
      <c r="E487" s="4">
        <f>SUM($F$9:G486)+0.1</f>
        <v>449.1</v>
      </c>
      <c r="F487" s="4"/>
    </row>
    <row r="488" spans="1:6" x14ac:dyDescent="0.35">
      <c r="A488" s="1" t="s">
        <v>312</v>
      </c>
      <c r="B488">
        <v>60</v>
      </c>
      <c r="E488" s="4">
        <f>SUM($F$9:G487)+0.1</f>
        <v>449.1</v>
      </c>
      <c r="F488" s="4"/>
    </row>
    <row r="489" spans="1:6" x14ac:dyDescent="0.35">
      <c r="A489" s="1" t="s">
        <v>313</v>
      </c>
      <c r="B489">
        <v>60</v>
      </c>
      <c r="C489" t="s">
        <v>901</v>
      </c>
      <c r="E489" s="4">
        <f>SUM($F$9:G488)+0.1</f>
        <v>449.1</v>
      </c>
      <c r="F489" s="4"/>
    </row>
    <row r="490" spans="1:6" x14ac:dyDescent="0.35">
      <c r="A490" s="1" t="s">
        <v>865</v>
      </c>
      <c r="B490">
        <v>60</v>
      </c>
      <c r="C490">
        <v>1</v>
      </c>
      <c r="E490" s="4">
        <f>SUM($F$9:G489)+0.1</f>
        <v>449.1</v>
      </c>
      <c r="F490" s="4"/>
    </row>
    <row r="491" spans="1:6" x14ac:dyDescent="0.35">
      <c r="A491" s="1" t="s">
        <v>314</v>
      </c>
      <c r="B491">
        <v>30</v>
      </c>
      <c r="E491" s="4">
        <f>SUM($F$9:G490)+0.1</f>
        <v>449.1</v>
      </c>
      <c r="F491" s="4"/>
    </row>
    <row r="492" spans="1:6" x14ac:dyDescent="0.35">
      <c r="A492" s="1" t="s">
        <v>315</v>
      </c>
      <c r="B492">
        <v>60</v>
      </c>
      <c r="E492" s="4">
        <f>SUM($F$9:G491)+0.1</f>
        <v>449.1</v>
      </c>
      <c r="F492" s="4"/>
    </row>
    <row r="493" spans="1:6" x14ac:dyDescent="0.35">
      <c r="A493" s="1" t="s">
        <v>698</v>
      </c>
      <c r="B493">
        <v>60</v>
      </c>
      <c r="C493" t="s">
        <v>901</v>
      </c>
      <c r="E493" s="4">
        <f>SUM($F$9:G492)+0.1</f>
        <v>449.1</v>
      </c>
      <c r="F493" s="4"/>
    </row>
    <row r="494" spans="1:6" x14ac:dyDescent="0.35">
      <c r="A494" s="1" t="s">
        <v>316</v>
      </c>
      <c r="B494">
        <v>30</v>
      </c>
      <c r="C494" t="s">
        <v>903</v>
      </c>
      <c r="E494" s="4">
        <f>SUM($F$9:G493)+0.1</f>
        <v>449.1</v>
      </c>
      <c r="F494" s="4"/>
    </row>
    <row r="495" spans="1:6" x14ac:dyDescent="0.35">
      <c r="A495" s="1" t="s">
        <v>521</v>
      </c>
      <c r="B495">
        <v>30</v>
      </c>
      <c r="E495" s="4">
        <f>SUM($F$9:G494)+0.1</f>
        <v>449.1</v>
      </c>
      <c r="F495" s="4"/>
    </row>
    <row r="496" spans="1:6" x14ac:dyDescent="0.35">
      <c r="A496" s="1" t="s">
        <v>75</v>
      </c>
      <c r="B496">
        <v>60</v>
      </c>
      <c r="E496" s="4">
        <f>SUM($F$9:G495)+0.1</f>
        <v>449.1</v>
      </c>
      <c r="F496" s="4"/>
    </row>
    <row r="497" spans="1:6" x14ac:dyDescent="0.35">
      <c r="A497" s="1" t="s">
        <v>317</v>
      </c>
      <c r="B497">
        <v>30</v>
      </c>
      <c r="E497" s="4">
        <f>SUM($F$9:G496)+0.1</f>
        <v>449.1</v>
      </c>
      <c r="F497" s="4"/>
    </row>
    <row r="498" spans="1:6" x14ac:dyDescent="0.35">
      <c r="A498" s="1" t="s">
        <v>1840</v>
      </c>
      <c r="E498" s="4">
        <f>SUM($F$9:G497)+0.1</f>
        <v>449.1</v>
      </c>
      <c r="F498" s="4"/>
    </row>
    <row r="499" spans="1:6" x14ac:dyDescent="0.35">
      <c r="A499" s="1" t="s">
        <v>318</v>
      </c>
      <c r="B499">
        <v>60</v>
      </c>
      <c r="E499" s="4">
        <f>SUM($F$9:G498)+0.1</f>
        <v>449.1</v>
      </c>
      <c r="F499" s="4">
        <v>5</v>
      </c>
    </row>
    <row r="500" spans="1:6" x14ac:dyDescent="0.35">
      <c r="A500" s="1" t="s">
        <v>81</v>
      </c>
      <c r="E500" s="4">
        <f>SUM($F$9:G499)+0.1</f>
        <v>454.1</v>
      </c>
      <c r="F500" s="4"/>
    </row>
    <row r="501" spans="1:6" x14ac:dyDescent="0.35">
      <c r="A501" s="1" t="s">
        <v>621</v>
      </c>
      <c r="B501">
        <v>60</v>
      </c>
      <c r="C501" t="s">
        <v>900</v>
      </c>
      <c r="E501" s="4">
        <f>SUM($F$9:G500)+0.1</f>
        <v>454.1</v>
      </c>
      <c r="F501" s="4"/>
    </row>
    <row r="502" spans="1:6" x14ac:dyDescent="0.35">
      <c r="A502" s="1" t="s">
        <v>76</v>
      </c>
      <c r="B502">
        <v>60</v>
      </c>
      <c r="E502" s="4">
        <f>SUM($F$9:G501)+0.1</f>
        <v>454.1</v>
      </c>
      <c r="F502" s="4"/>
    </row>
    <row r="503" spans="1:6" x14ac:dyDescent="0.35">
      <c r="A503" s="1" t="s">
        <v>1832</v>
      </c>
      <c r="E503" s="4">
        <f>SUM($F$9:G502)+0.1</f>
        <v>454.1</v>
      </c>
      <c r="F503" s="4"/>
    </row>
    <row r="504" spans="1:6" x14ac:dyDescent="0.35">
      <c r="A504" s="1" t="s">
        <v>523</v>
      </c>
      <c r="B504">
        <v>30</v>
      </c>
      <c r="E504" s="4">
        <f>SUM($F$9:G503)+0.1</f>
        <v>454.1</v>
      </c>
      <c r="F504" s="4"/>
    </row>
    <row r="505" spans="1:6" x14ac:dyDescent="0.35">
      <c r="A505" s="1" t="s">
        <v>526</v>
      </c>
      <c r="B505">
        <v>30</v>
      </c>
      <c r="C505">
        <v>1</v>
      </c>
      <c r="E505" s="4">
        <f>SUM($F$9:G504)+0.1</f>
        <v>454.1</v>
      </c>
      <c r="F505" s="4"/>
    </row>
    <row r="506" spans="1:6" x14ac:dyDescent="0.35">
      <c r="A506" s="1" t="s">
        <v>77</v>
      </c>
      <c r="B506">
        <v>60</v>
      </c>
      <c r="E506" s="4">
        <f>SUM($F$9:G505)+0.1</f>
        <v>454.1</v>
      </c>
      <c r="F506" s="4">
        <v>10</v>
      </c>
    </row>
    <row r="507" spans="1:6" x14ac:dyDescent="0.35">
      <c r="A507" s="1" t="s">
        <v>319</v>
      </c>
      <c r="B507">
        <v>60</v>
      </c>
      <c r="E507" s="4">
        <f>SUM($F$9:G506)+0.1</f>
        <v>464.1</v>
      </c>
      <c r="F507" s="4"/>
    </row>
    <row r="508" spans="1:6" x14ac:dyDescent="0.35">
      <c r="A508" s="1" t="s">
        <v>320</v>
      </c>
      <c r="B508">
        <v>60</v>
      </c>
      <c r="C508" t="s">
        <v>900</v>
      </c>
      <c r="E508" s="4">
        <f>SUM($F$9:G507)+0.1</f>
        <v>464.1</v>
      </c>
      <c r="F508" s="4"/>
    </row>
    <row r="509" spans="1:6" x14ac:dyDescent="0.35">
      <c r="A509" s="1" t="s">
        <v>406</v>
      </c>
      <c r="B509">
        <v>60</v>
      </c>
      <c r="E509" s="4">
        <f>SUM($F$9:G508)+0.1</f>
        <v>464.1</v>
      </c>
      <c r="F509" s="4">
        <v>1</v>
      </c>
    </row>
    <row r="510" spans="1:6" x14ac:dyDescent="0.35">
      <c r="A510" s="1" t="s">
        <v>321</v>
      </c>
      <c r="B510">
        <v>60</v>
      </c>
      <c r="C510" t="s">
        <v>901</v>
      </c>
      <c r="E510" s="4">
        <f>SUM($F$9:G509)+0.1</f>
        <v>465.1</v>
      </c>
      <c r="F510" s="4"/>
    </row>
    <row r="511" spans="1:6" x14ac:dyDescent="0.35">
      <c r="A511" s="1" t="s">
        <v>322</v>
      </c>
      <c r="B511">
        <v>60</v>
      </c>
      <c r="C511" t="s">
        <v>900</v>
      </c>
      <c r="E511" s="4">
        <f>SUM($F$9:G510)+0.1</f>
        <v>465.1</v>
      </c>
      <c r="F511" s="4"/>
    </row>
    <row r="512" spans="1:6" x14ac:dyDescent="0.35">
      <c r="A512" s="1" t="s">
        <v>165</v>
      </c>
      <c r="B512">
        <v>60</v>
      </c>
      <c r="E512" s="4">
        <f>SUM($F$9:G511)+0.1</f>
        <v>465.1</v>
      </c>
      <c r="F512" s="4"/>
    </row>
    <row r="513" spans="1:6" x14ac:dyDescent="0.35">
      <c r="A513" s="1" t="s">
        <v>914</v>
      </c>
      <c r="B513">
        <v>60</v>
      </c>
      <c r="E513" s="4">
        <f>SUM($F$9:G512)+0.1</f>
        <v>465.1</v>
      </c>
      <c r="F513" s="4"/>
    </row>
    <row r="514" spans="1:6" x14ac:dyDescent="0.35">
      <c r="A514" s="1" t="s">
        <v>808</v>
      </c>
      <c r="B514">
        <v>60</v>
      </c>
      <c r="C514" t="s">
        <v>901</v>
      </c>
      <c r="E514" s="4">
        <f>SUM($F$9:G513)+0.1</f>
        <v>465.1</v>
      </c>
      <c r="F514" s="4"/>
    </row>
    <row r="515" spans="1:6" x14ac:dyDescent="0.35">
      <c r="A515" s="1" t="s">
        <v>911</v>
      </c>
      <c r="B515">
        <v>60</v>
      </c>
      <c r="C515" t="s">
        <v>903</v>
      </c>
      <c r="E515" s="4">
        <f>SUM($F$9:G514)+0.1</f>
        <v>465.1</v>
      </c>
      <c r="F515" s="4"/>
    </row>
    <row r="516" spans="1:6" x14ac:dyDescent="0.35">
      <c r="A516" s="1" t="s">
        <v>323</v>
      </c>
      <c r="B516">
        <v>30</v>
      </c>
      <c r="C516" t="s">
        <v>901</v>
      </c>
      <c r="E516" s="4">
        <f>SUM($F$9:G515)+0.1</f>
        <v>465.1</v>
      </c>
      <c r="F516" s="4"/>
    </row>
    <row r="517" spans="1:6" x14ac:dyDescent="0.35">
      <c r="A517" s="1" t="s">
        <v>324</v>
      </c>
      <c r="B517">
        <v>60</v>
      </c>
      <c r="E517" s="4">
        <f>SUM($F$9:G516)+0.1</f>
        <v>465.1</v>
      </c>
      <c r="F517" s="4"/>
    </row>
    <row r="518" spans="1:6" x14ac:dyDescent="0.35">
      <c r="A518" s="1" t="s">
        <v>325</v>
      </c>
      <c r="B518">
        <v>60</v>
      </c>
      <c r="E518" s="4">
        <f>SUM($F$9:G517)+0.1</f>
        <v>465.1</v>
      </c>
      <c r="F518" s="4"/>
    </row>
    <row r="519" spans="1:6" x14ac:dyDescent="0.35">
      <c r="A519" s="1" t="s">
        <v>78</v>
      </c>
      <c r="B519">
        <v>60</v>
      </c>
      <c r="C519" t="s">
        <v>901</v>
      </c>
      <c r="E519" s="4">
        <f>SUM($F$9:G518)+0.1</f>
        <v>465.1</v>
      </c>
      <c r="F519" s="4"/>
    </row>
    <row r="520" spans="1:6" x14ac:dyDescent="0.35">
      <c r="A520" s="1" t="s">
        <v>522</v>
      </c>
      <c r="B520">
        <v>30</v>
      </c>
      <c r="E520" s="4">
        <f>SUM($F$9:G519)+0.1</f>
        <v>465.1</v>
      </c>
      <c r="F520" s="4"/>
    </row>
    <row r="521" spans="1:6" x14ac:dyDescent="0.35">
      <c r="A521" s="1" t="s">
        <v>784</v>
      </c>
      <c r="B521">
        <v>60</v>
      </c>
      <c r="E521" s="4">
        <f>SUM($F$9:G520)+0.1</f>
        <v>465.1</v>
      </c>
      <c r="F521" s="4"/>
    </row>
    <row r="522" spans="1:6" x14ac:dyDescent="0.35">
      <c r="A522" s="1" t="s">
        <v>326</v>
      </c>
      <c r="B522">
        <v>30</v>
      </c>
      <c r="E522" s="4">
        <f>SUM($F$9:G521)+0.1</f>
        <v>465.1</v>
      </c>
      <c r="F522" s="4"/>
    </row>
    <row r="523" spans="1:6" x14ac:dyDescent="0.35">
      <c r="A523" s="1" t="s">
        <v>647</v>
      </c>
      <c r="B523">
        <v>60</v>
      </c>
      <c r="E523" s="4">
        <f>SUM($F$9:G522)+0.1</f>
        <v>465.1</v>
      </c>
      <c r="F523" s="4"/>
    </row>
    <row r="524" spans="1:6" x14ac:dyDescent="0.35">
      <c r="A524" s="1" t="s">
        <v>789</v>
      </c>
      <c r="B524">
        <v>30</v>
      </c>
      <c r="C524" t="s">
        <v>903</v>
      </c>
      <c r="E524" s="4">
        <f>SUM($F$9:G523)+0.1</f>
        <v>465.1</v>
      </c>
      <c r="F524" s="4"/>
    </row>
    <row r="525" spans="1:6" x14ac:dyDescent="0.35">
      <c r="A525" s="1" t="s">
        <v>327</v>
      </c>
      <c r="B525">
        <v>30</v>
      </c>
      <c r="E525" s="4">
        <f>SUM($F$9:G524)+0.1</f>
        <v>465.1</v>
      </c>
      <c r="F525" s="4"/>
    </row>
    <row r="526" spans="1:6" x14ac:dyDescent="0.35">
      <c r="A526" s="1" t="s">
        <v>809</v>
      </c>
      <c r="B526">
        <v>60</v>
      </c>
      <c r="C526" t="s">
        <v>901</v>
      </c>
      <c r="E526" s="4">
        <f>SUM($F$9:G525)+0.1</f>
        <v>465.1</v>
      </c>
      <c r="F526" s="4"/>
    </row>
    <row r="527" spans="1:6" x14ac:dyDescent="0.35">
      <c r="A527" s="1" t="s">
        <v>1908</v>
      </c>
      <c r="E527" s="4">
        <f>SUM($F$9:G526)+0.1</f>
        <v>465.1</v>
      </c>
      <c r="F527" s="4"/>
    </row>
    <row r="528" spans="1:6" x14ac:dyDescent="0.35">
      <c r="A528" s="1" t="s">
        <v>82</v>
      </c>
      <c r="B528">
        <v>60</v>
      </c>
      <c r="D528" t="s">
        <v>120</v>
      </c>
      <c r="E528" s="4">
        <f>SUM($F$9:G527)+0.1</f>
        <v>465.1</v>
      </c>
      <c r="F528" s="4"/>
    </row>
    <row r="529" spans="1:6" x14ac:dyDescent="0.35">
      <c r="A529" s="1" t="s">
        <v>184</v>
      </c>
      <c r="B529">
        <v>60</v>
      </c>
      <c r="E529" s="4">
        <f>SUM($F$9:G528)+0.1</f>
        <v>465.1</v>
      </c>
      <c r="F529" s="4"/>
    </row>
    <row r="530" spans="1:6" x14ac:dyDescent="0.35">
      <c r="A530" s="1" t="s">
        <v>699</v>
      </c>
      <c r="B530">
        <v>60</v>
      </c>
      <c r="C530" t="s">
        <v>900</v>
      </c>
      <c r="E530" s="4">
        <f>SUM($F$9:G529)+0.1</f>
        <v>465.1</v>
      </c>
      <c r="F530" s="4"/>
    </row>
    <row r="531" spans="1:6" x14ac:dyDescent="0.35">
      <c r="A531" s="1" t="s">
        <v>50</v>
      </c>
      <c r="B531" s="3"/>
      <c r="E531" s="4">
        <f>SUM($F$9:G530)+0.1</f>
        <v>465.1</v>
      </c>
      <c r="F531" s="4">
        <v>150</v>
      </c>
    </row>
    <row r="532" spans="1:6" x14ac:dyDescent="0.35">
      <c r="A532" s="1" t="s">
        <v>328</v>
      </c>
      <c r="B532">
        <v>60</v>
      </c>
      <c r="C532" t="s">
        <v>903</v>
      </c>
      <c r="E532" s="4">
        <f>SUM($F$9:G531)+0.1</f>
        <v>615.1</v>
      </c>
      <c r="F532" s="4"/>
    </row>
    <row r="533" spans="1:6" x14ac:dyDescent="0.35">
      <c r="A533" s="1" t="s">
        <v>329</v>
      </c>
      <c r="B533">
        <v>60</v>
      </c>
      <c r="E533" s="4">
        <f>SUM($F$9:G532)+0.1</f>
        <v>615.1</v>
      </c>
      <c r="F533" s="4"/>
    </row>
    <row r="534" spans="1:6" x14ac:dyDescent="0.35">
      <c r="A534" s="1" t="s">
        <v>889</v>
      </c>
      <c r="B534">
        <v>30</v>
      </c>
      <c r="C534" t="s">
        <v>903</v>
      </c>
      <c r="E534" s="4">
        <f>SUM($F$9:G533)+0.1</f>
        <v>615.1</v>
      </c>
      <c r="F534" s="4"/>
    </row>
    <row r="535" spans="1:6" x14ac:dyDescent="0.35">
      <c r="A535" s="1" t="s">
        <v>330</v>
      </c>
      <c r="B535">
        <v>60</v>
      </c>
      <c r="C535" t="s">
        <v>900</v>
      </c>
      <c r="E535" s="4">
        <f>SUM($F$9:G534)+0.1</f>
        <v>615.1</v>
      </c>
      <c r="F535" s="4"/>
    </row>
    <row r="536" spans="1:6" x14ac:dyDescent="0.35">
      <c r="A536" s="1" t="s">
        <v>83</v>
      </c>
      <c r="B536">
        <v>60</v>
      </c>
      <c r="C536" t="s">
        <v>900</v>
      </c>
      <c r="E536" s="4">
        <f>SUM($F$9:G535)+0.1</f>
        <v>615.1</v>
      </c>
      <c r="F536" s="4"/>
    </row>
    <row r="537" spans="1:6" x14ac:dyDescent="0.35">
      <c r="A537" s="1" t="s">
        <v>84</v>
      </c>
      <c r="B537">
        <v>60</v>
      </c>
      <c r="E537" s="4">
        <f>SUM($F$9:G536)+0.1</f>
        <v>615.1</v>
      </c>
      <c r="F537" s="4"/>
    </row>
    <row r="538" spans="1:6" x14ac:dyDescent="0.35">
      <c r="A538" s="1" t="s">
        <v>622</v>
      </c>
      <c r="B538">
        <v>60</v>
      </c>
      <c r="E538" s="4">
        <f>SUM($F$9:G537)+0.1</f>
        <v>615.1</v>
      </c>
      <c r="F538" s="4"/>
    </row>
    <row r="539" spans="1:6" x14ac:dyDescent="0.35">
      <c r="A539" s="1" t="s">
        <v>331</v>
      </c>
      <c r="B539">
        <v>60</v>
      </c>
      <c r="C539">
        <v>1</v>
      </c>
      <c r="E539" s="4">
        <f>SUM($F$9:G538)+0.1</f>
        <v>615.1</v>
      </c>
      <c r="F539" s="4"/>
    </row>
    <row r="540" spans="1:6" x14ac:dyDescent="0.35">
      <c r="A540" s="1" t="s">
        <v>810</v>
      </c>
      <c r="B540">
        <v>60</v>
      </c>
      <c r="C540" t="s">
        <v>900</v>
      </c>
      <c r="E540" s="4">
        <f>SUM($F$9:G539)+0.1</f>
        <v>615.1</v>
      </c>
      <c r="F540" s="4"/>
    </row>
    <row r="541" spans="1:6" x14ac:dyDescent="0.35">
      <c r="A541" s="1" t="s">
        <v>407</v>
      </c>
      <c r="B541">
        <v>30</v>
      </c>
      <c r="E541" s="4">
        <f>SUM($F$9:G540)+0.1</f>
        <v>615.1</v>
      </c>
      <c r="F541" s="4"/>
    </row>
    <row r="542" spans="1:6" x14ac:dyDescent="0.35">
      <c r="A542" s="1" t="s">
        <v>866</v>
      </c>
      <c r="B542">
        <v>30</v>
      </c>
      <c r="E542" s="4">
        <f>SUM($F$9:G541)+0.1</f>
        <v>615.1</v>
      </c>
      <c r="F542" s="4"/>
    </row>
    <row r="543" spans="1:6" x14ac:dyDescent="0.35">
      <c r="A543" s="1" t="s">
        <v>332</v>
      </c>
      <c r="B543">
        <v>60</v>
      </c>
      <c r="C543" t="s">
        <v>901</v>
      </c>
      <c r="E543" s="4">
        <f>SUM($F$9:G542)+0.1</f>
        <v>615.1</v>
      </c>
      <c r="F543" s="4"/>
    </row>
    <row r="544" spans="1:6" x14ac:dyDescent="0.35">
      <c r="A544" s="1" t="s">
        <v>700</v>
      </c>
      <c r="B544">
        <v>30</v>
      </c>
      <c r="E544" s="4">
        <f>SUM($F$9:G543)+0.1</f>
        <v>615.1</v>
      </c>
      <c r="F544" s="4"/>
    </row>
    <row r="545" spans="1:6" x14ac:dyDescent="0.35">
      <c r="A545" s="1" t="s">
        <v>333</v>
      </c>
      <c r="B545">
        <v>60</v>
      </c>
      <c r="E545" s="4">
        <f>SUM($F$9:G544)+0.1</f>
        <v>615.1</v>
      </c>
      <c r="F545" s="4"/>
    </row>
    <row r="546" spans="1:6" x14ac:dyDescent="0.35">
      <c r="A546" s="1" t="s">
        <v>408</v>
      </c>
      <c r="B546">
        <v>30</v>
      </c>
      <c r="E546" s="4">
        <f>SUM($F$9:G545)+0.1</f>
        <v>615.1</v>
      </c>
      <c r="F546" s="4"/>
    </row>
    <row r="547" spans="1:6" x14ac:dyDescent="0.35">
      <c r="A547" s="1" t="s">
        <v>623</v>
      </c>
      <c r="B547">
        <v>30</v>
      </c>
      <c r="E547" s="4">
        <f>SUM($F$9:G546)+0.1</f>
        <v>615.1</v>
      </c>
      <c r="F547" s="4"/>
    </row>
    <row r="548" spans="1:6" x14ac:dyDescent="0.35">
      <c r="A548" s="1" t="s">
        <v>702</v>
      </c>
      <c r="B548">
        <v>30</v>
      </c>
      <c r="C548" t="s">
        <v>903</v>
      </c>
      <c r="E548" s="4">
        <f>SUM($F$9:G547)+0.1</f>
        <v>615.1</v>
      </c>
      <c r="F548" s="4">
        <v>1</v>
      </c>
    </row>
    <row r="549" spans="1:6" x14ac:dyDescent="0.35">
      <c r="A549" s="1" t="s">
        <v>524</v>
      </c>
      <c r="B549">
        <v>30</v>
      </c>
      <c r="D549" t="s">
        <v>472</v>
      </c>
      <c r="E549" s="4">
        <f>SUM($F$9:G548)+0.1</f>
        <v>616.1</v>
      </c>
      <c r="F549" s="4"/>
    </row>
    <row r="550" spans="1:6" x14ac:dyDescent="0.35">
      <c r="A550" s="1" t="s">
        <v>334</v>
      </c>
      <c r="B550">
        <v>30</v>
      </c>
      <c r="E550" s="4">
        <f>SUM($F$9:G549)+0.1</f>
        <v>616.1</v>
      </c>
      <c r="F550" s="4"/>
    </row>
    <row r="551" spans="1:6" x14ac:dyDescent="0.35">
      <c r="A551" s="13" t="s">
        <v>85</v>
      </c>
      <c r="B551">
        <v>30</v>
      </c>
      <c r="E551" s="4">
        <f>SUM($F$9:G550)+0.1</f>
        <v>616.1</v>
      </c>
      <c r="F551" s="4"/>
    </row>
    <row r="552" spans="1:6" x14ac:dyDescent="0.35">
      <c r="A552" s="1" t="s">
        <v>624</v>
      </c>
      <c r="B552">
        <v>30</v>
      </c>
      <c r="E552" s="4">
        <f>SUM($F$9:G551)+0.1</f>
        <v>616.1</v>
      </c>
      <c r="F552" s="4"/>
    </row>
    <row r="553" spans="1:6" x14ac:dyDescent="0.35">
      <c r="A553" s="1" t="s">
        <v>525</v>
      </c>
      <c r="B553">
        <v>30</v>
      </c>
      <c r="E553" s="4">
        <f>SUM($F$9:G552)+0.1</f>
        <v>616.1</v>
      </c>
      <c r="F553" s="4"/>
    </row>
    <row r="554" spans="1:6" x14ac:dyDescent="0.35">
      <c r="A554" s="1" t="s">
        <v>811</v>
      </c>
      <c r="B554">
        <v>60</v>
      </c>
      <c r="E554" s="4">
        <f>SUM($F$9:G553)+0.1</f>
        <v>616.1</v>
      </c>
      <c r="F554" s="4"/>
    </row>
    <row r="555" spans="1:6" x14ac:dyDescent="0.35">
      <c r="A555" s="1" t="s">
        <v>86</v>
      </c>
      <c r="B555">
        <v>60</v>
      </c>
      <c r="E555" s="4">
        <f>SUM($F$9:G554)+0.1</f>
        <v>616.1</v>
      </c>
      <c r="F555" s="4">
        <v>1</v>
      </c>
    </row>
    <row r="556" spans="1:6" x14ac:dyDescent="0.35">
      <c r="A556" s="1" t="s">
        <v>335</v>
      </c>
      <c r="B556">
        <v>60</v>
      </c>
      <c r="C556" t="s">
        <v>900</v>
      </c>
      <c r="E556" s="4">
        <f>SUM($F$9:G555)+0.1</f>
        <v>617.1</v>
      </c>
      <c r="F556" s="4"/>
    </row>
    <row r="557" spans="1:6" x14ac:dyDescent="0.35">
      <c r="A557" s="1" t="s">
        <v>336</v>
      </c>
      <c r="B557">
        <v>30</v>
      </c>
      <c r="C557" t="s">
        <v>903</v>
      </c>
      <c r="E557" s="4">
        <f>SUM($F$9:G556)+0.1</f>
        <v>617.1</v>
      </c>
      <c r="F557" s="4"/>
    </row>
    <row r="558" spans="1:6" x14ac:dyDescent="0.35">
      <c r="A558" s="1" t="s">
        <v>785</v>
      </c>
      <c r="E558" s="4">
        <f>SUM($F$9:G557)+0.1</f>
        <v>617.1</v>
      </c>
      <c r="F558" s="4"/>
    </row>
    <row r="559" spans="1:6" x14ac:dyDescent="0.35">
      <c r="A559" s="1" t="s">
        <v>703</v>
      </c>
      <c r="B559">
        <v>60</v>
      </c>
      <c r="C559" t="s">
        <v>901</v>
      </c>
      <c r="E559" s="4">
        <f>SUM($F$9:G558)+0.1</f>
        <v>617.1</v>
      </c>
      <c r="F559" s="4"/>
    </row>
    <row r="560" spans="1:6" x14ac:dyDescent="0.35">
      <c r="A560" s="1" t="s">
        <v>836</v>
      </c>
      <c r="B560">
        <v>60</v>
      </c>
      <c r="E560" s="4">
        <f>SUM($F$9:G559)+0.1</f>
        <v>617.1</v>
      </c>
      <c r="F560" s="4"/>
    </row>
    <row r="561" spans="1:6" x14ac:dyDescent="0.35">
      <c r="A561" s="1" t="s">
        <v>410</v>
      </c>
      <c r="B561">
        <v>60</v>
      </c>
      <c r="C561" t="s">
        <v>900</v>
      </c>
      <c r="E561" s="4">
        <f>SUM($F$9:G560)+0.1</f>
        <v>617.1</v>
      </c>
      <c r="F561" s="4"/>
    </row>
    <row r="562" spans="1:6" x14ac:dyDescent="0.35">
      <c r="A562" s="1" t="s">
        <v>409</v>
      </c>
      <c r="B562">
        <v>60</v>
      </c>
      <c r="C562" t="s">
        <v>900</v>
      </c>
      <c r="E562" s="4">
        <f>SUM($F$9:G561)+0.1</f>
        <v>617.1</v>
      </c>
      <c r="F562" s="4"/>
    </row>
    <row r="563" spans="1:6" x14ac:dyDescent="0.35">
      <c r="A563" s="1" t="s">
        <v>625</v>
      </c>
      <c r="B563">
        <v>30</v>
      </c>
      <c r="E563" s="4">
        <f>SUM($F$9:G562)+0.1</f>
        <v>617.1</v>
      </c>
      <c r="F563" s="4"/>
    </row>
    <row r="564" spans="1:6" x14ac:dyDescent="0.35">
      <c r="A564" s="1" t="s">
        <v>193</v>
      </c>
      <c r="B564">
        <v>60</v>
      </c>
      <c r="D564" t="s">
        <v>902</v>
      </c>
      <c r="E564" s="4">
        <f>SUM($F$9:G563)+0.1</f>
        <v>617.1</v>
      </c>
      <c r="F564" s="4"/>
    </row>
    <row r="565" spans="1:6" x14ac:dyDescent="0.35">
      <c r="A565" s="1" t="s">
        <v>812</v>
      </c>
      <c r="B565">
        <v>30</v>
      </c>
      <c r="E565" s="4">
        <f>SUM($F$9:G564)+0.1</f>
        <v>617.1</v>
      </c>
      <c r="F565" s="4"/>
    </row>
    <row r="566" spans="1:6" x14ac:dyDescent="0.35">
      <c r="A566" s="1" t="s">
        <v>528</v>
      </c>
      <c r="B566">
        <v>30</v>
      </c>
      <c r="E566" s="4">
        <f>SUM($F$9:G565)+0.1</f>
        <v>617.1</v>
      </c>
      <c r="F566" s="4">
        <v>35</v>
      </c>
    </row>
    <row r="567" spans="1:6" x14ac:dyDescent="0.35">
      <c r="A567" s="1" t="s">
        <v>856</v>
      </c>
      <c r="B567">
        <v>60</v>
      </c>
      <c r="E567" s="4">
        <f>SUM($F$9:G566)+0.1</f>
        <v>652.1</v>
      </c>
      <c r="F567" s="4"/>
    </row>
    <row r="568" spans="1:6" x14ac:dyDescent="0.35">
      <c r="A568" s="1" t="s">
        <v>87</v>
      </c>
      <c r="B568">
        <v>60</v>
      </c>
      <c r="E568" s="4">
        <f>SUM($F$9:G567)+0.1</f>
        <v>652.1</v>
      </c>
      <c r="F568" s="4">
        <v>20</v>
      </c>
    </row>
    <row r="569" spans="1:6" x14ac:dyDescent="0.35">
      <c r="A569" s="1" t="s">
        <v>704</v>
      </c>
      <c r="B569">
        <v>30</v>
      </c>
      <c r="C569" t="s">
        <v>903</v>
      </c>
      <c r="E569" s="4">
        <f>SUM($F$9:G568)+0.1</f>
        <v>672.1</v>
      </c>
      <c r="F569" s="4"/>
    </row>
    <row r="570" spans="1:6" x14ac:dyDescent="0.35">
      <c r="A570" s="1" t="s">
        <v>157</v>
      </c>
      <c r="B570">
        <v>30</v>
      </c>
      <c r="E570" s="4">
        <f>SUM($F$9:G569)+0.1</f>
        <v>672.1</v>
      </c>
      <c r="F570" s="4"/>
    </row>
    <row r="571" spans="1:6" x14ac:dyDescent="0.35">
      <c r="A571" s="1" t="s">
        <v>527</v>
      </c>
      <c r="B571">
        <v>60</v>
      </c>
      <c r="C571" t="s">
        <v>901</v>
      </c>
      <c r="E571" s="4">
        <f>SUM($F$9:G570)+0.1</f>
        <v>672.1</v>
      </c>
      <c r="F571" s="4"/>
    </row>
    <row r="572" spans="1:6" x14ac:dyDescent="0.35">
      <c r="A572" s="1" t="s">
        <v>857</v>
      </c>
      <c r="B572">
        <v>60</v>
      </c>
      <c r="C572" t="s">
        <v>901</v>
      </c>
      <c r="E572" s="4">
        <f>SUM($F$9:G571)+0.1</f>
        <v>672.1</v>
      </c>
      <c r="F572" s="4"/>
    </row>
    <row r="573" spans="1:6" x14ac:dyDescent="0.35">
      <c r="A573" s="1" t="s">
        <v>786</v>
      </c>
      <c r="E573" s="4">
        <f>SUM($F$9:G572)+0.1</f>
        <v>672.1</v>
      </c>
      <c r="F573" s="4"/>
    </row>
    <row r="574" spans="1:6" x14ac:dyDescent="0.35">
      <c r="A574" s="1" t="s">
        <v>337</v>
      </c>
      <c r="B574">
        <v>60</v>
      </c>
      <c r="C574" t="s">
        <v>900</v>
      </c>
      <c r="E574" s="4">
        <f>SUM($F$9:G573)+0.1</f>
        <v>672.1</v>
      </c>
      <c r="F574" s="4"/>
    </row>
    <row r="575" spans="1:6" x14ac:dyDescent="0.35">
      <c r="A575" s="1" t="s">
        <v>626</v>
      </c>
      <c r="B575">
        <v>60</v>
      </c>
      <c r="C575" t="s">
        <v>900</v>
      </c>
      <c r="E575" s="4">
        <f>SUM($F$9:G574)+0.1</f>
        <v>672.1</v>
      </c>
      <c r="F575" s="4"/>
    </row>
    <row r="576" spans="1:6" x14ac:dyDescent="0.35">
      <c r="A576" s="1" t="s">
        <v>744</v>
      </c>
      <c r="B576">
        <v>60</v>
      </c>
      <c r="C576" t="s">
        <v>901</v>
      </c>
      <c r="E576" s="4">
        <f>SUM($F$9:G575)+0.1</f>
        <v>672.1</v>
      </c>
      <c r="F576" s="4"/>
    </row>
    <row r="577" spans="1:6" x14ac:dyDescent="0.35">
      <c r="A577" s="1" t="s">
        <v>339</v>
      </c>
      <c r="B577">
        <v>30</v>
      </c>
      <c r="E577" s="4">
        <f>SUM($F$9:G576)+0.1</f>
        <v>672.1</v>
      </c>
      <c r="F577" s="4"/>
    </row>
    <row r="578" spans="1:6" x14ac:dyDescent="0.35">
      <c r="A578" s="1" t="s">
        <v>868</v>
      </c>
      <c r="B578">
        <v>60</v>
      </c>
      <c r="E578" s="4">
        <f>SUM($F$9:G577)+0.1</f>
        <v>672.1</v>
      </c>
      <c r="F578" s="4"/>
    </row>
    <row r="579" spans="1:6" x14ac:dyDescent="0.35">
      <c r="A579" s="1" t="s">
        <v>705</v>
      </c>
      <c r="B579">
        <v>60</v>
      </c>
      <c r="E579" s="4">
        <f>SUM($F$9:G578)+0.1</f>
        <v>672.1</v>
      </c>
      <c r="F579" s="4"/>
    </row>
    <row r="580" spans="1:6" x14ac:dyDescent="0.35">
      <c r="A580" s="1" t="s">
        <v>180</v>
      </c>
      <c r="B580">
        <v>60</v>
      </c>
      <c r="E580" s="4">
        <f>SUM($F$9:G579)+0.1</f>
        <v>672.1</v>
      </c>
      <c r="F580" s="4"/>
    </row>
    <row r="581" spans="1:6" x14ac:dyDescent="0.35">
      <c r="A581" s="1" t="s">
        <v>529</v>
      </c>
      <c r="B581">
        <v>30</v>
      </c>
      <c r="E581" s="4">
        <f>SUM($F$9:G580)+0.1</f>
        <v>672.1</v>
      </c>
      <c r="F581" s="4">
        <v>30</v>
      </c>
    </row>
    <row r="582" spans="1:6" x14ac:dyDescent="0.35">
      <c r="A582" s="1" t="s">
        <v>530</v>
      </c>
      <c r="B582">
        <v>60</v>
      </c>
      <c r="E582" s="4">
        <f>SUM($F$9:G581)+0.1</f>
        <v>702.1</v>
      </c>
      <c r="F582" s="4"/>
    </row>
    <row r="583" spans="1:6" x14ac:dyDescent="0.35">
      <c r="A583" s="1" t="s">
        <v>340</v>
      </c>
      <c r="B583">
        <v>30</v>
      </c>
      <c r="E583" s="4">
        <f>SUM($F$9:G582)+0.1</f>
        <v>702.1</v>
      </c>
      <c r="F583" s="4"/>
    </row>
    <row r="584" spans="1:6" x14ac:dyDescent="0.35">
      <c r="A584" s="1" t="s">
        <v>706</v>
      </c>
      <c r="B584">
        <v>60</v>
      </c>
      <c r="E584" s="4">
        <f>SUM($F$9:G583)+0.1</f>
        <v>702.1</v>
      </c>
      <c r="F584" s="4"/>
    </row>
    <row r="585" spans="1:6" x14ac:dyDescent="0.35">
      <c r="A585" s="1" t="s">
        <v>867</v>
      </c>
      <c r="B585">
        <v>30</v>
      </c>
      <c r="E585" s="4">
        <f>SUM($F$9:G584)+0.1</f>
        <v>702.1</v>
      </c>
      <c r="F585" s="4"/>
    </row>
    <row r="586" spans="1:6" x14ac:dyDescent="0.35">
      <c r="A586" s="1" t="s">
        <v>341</v>
      </c>
      <c r="B586">
        <v>60</v>
      </c>
      <c r="C586" t="s">
        <v>900</v>
      </c>
      <c r="E586" s="4">
        <f>SUM($F$9:G585)+0.1</f>
        <v>702.1</v>
      </c>
      <c r="F586" s="4"/>
    </row>
    <row r="587" spans="1:6" x14ac:dyDescent="0.35">
      <c r="A587" s="1" t="s">
        <v>88</v>
      </c>
      <c r="B587">
        <v>60</v>
      </c>
      <c r="E587" s="4">
        <f>SUM($F$9:G586)+0.1</f>
        <v>702.1</v>
      </c>
      <c r="F587" s="4"/>
    </row>
    <row r="588" spans="1:6" x14ac:dyDescent="0.35">
      <c r="A588" s="1" t="s">
        <v>342</v>
      </c>
      <c r="B588">
        <v>60</v>
      </c>
      <c r="D588" t="s">
        <v>88</v>
      </c>
      <c r="E588" s="4">
        <f>SUM($F$9:G587)+0.1</f>
        <v>702.1</v>
      </c>
      <c r="F588" s="4"/>
    </row>
    <row r="589" spans="1:6" x14ac:dyDescent="0.35">
      <c r="A589" s="13" t="s">
        <v>89</v>
      </c>
      <c r="B589">
        <v>30</v>
      </c>
      <c r="C589" t="s">
        <v>903</v>
      </c>
      <c r="E589" s="4">
        <f>SUM($F$9:G588)+0.1</f>
        <v>702.1</v>
      </c>
      <c r="F589" s="4"/>
    </row>
    <row r="590" spans="1:6" x14ac:dyDescent="0.35">
      <c r="A590" s="1" t="s">
        <v>90</v>
      </c>
      <c r="B590">
        <v>60</v>
      </c>
      <c r="E590" s="4">
        <f>SUM($F$9:G589)+0.1</f>
        <v>702.1</v>
      </c>
      <c r="F590" s="4"/>
    </row>
    <row r="591" spans="1:6" x14ac:dyDescent="0.35">
      <c r="A591" s="1" t="s">
        <v>858</v>
      </c>
      <c r="B591">
        <v>60</v>
      </c>
      <c r="E591" s="4">
        <f>SUM($F$9:G590)+0.1</f>
        <v>702.1</v>
      </c>
      <c r="F591" s="4"/>
    </row>
    <row r="592" spans="1:6" x14ac:dyDescent="0.35">
      <c r="A592" s="1" t="s">
        <v>343</v>
      </c>
      <c r="B592">
        <v>30</v>
      </c>
      <c r="C592" t="s">
        <v>903</v>
      </c>
      <c r="E592" s="4">
        <f>SUM($F$9:G591)+0.1</f>
        <v>702.1</v>
      </c>
      <c r="F592" s="4"/>
    </row>
    <row r="593" spans="1:6" x14ac:dyDescent="0.35">
      <c r="A593" s="1" t="s">
        <v>91</v>
      </c>
      <c r="B593">
        <v>60</v>
      </c>
      <c r="E593" s="4">
        <f>SUM($F$9:G592)+0.1</f>
        <v>702.1</v>
      </c>
      <c r="F593" s="4"/>
    </row>
    <row r="594" spans="1:6" x14ac:dyDescent="0.35">
      <c r="A594" s="1" t="s">
        <v>344</v>
      </c>
      <c r="B594">
        <v>60</v>
      </c>
      <c r="E594" s="4">
        <f>SUM($F$9:G593)+0.1</f>
        <v>702.1</v>
      </c>
      <c r="F594" s="4"/>
    </row>
    <row r="595" spans="1:6" x14ac:dyDescent="0.35">
      <c r="A595" s="1" t="s">
        <v>531</v>
      </c>
      <c r="B595">
        <v>30</v>
      </c>
      <c r="E595" s="4">
        <f>SUM($F$9:G594)+0.1</f>
        <v>702.1</v>
      </c>
      <c r="F595" s="4">
        <v>10</v>
      </c>
    </row>
    <row r="596" spans="1:6" x14ac:dyDescent="0.35">
      <c r="A596" s="1" t="s">
        <v>838</v>
      </c>
      <c r="B596">
        <v>60</v>
      </c>
      <c r="E596" s="4">
        <f>SUM($F$9:G595)+0.1</f>
        <v>712.1</v>
      </c>
      <c r="F596" s="4"/>
    </row>
    <row r="597" spans="1:6" x14ac:dyDescent="0.35">
      <c r="A597" s="1" t="s">
        <v>745</v>
      </c>
      <c r="B597">
        <v>60</v>
      </c>
      <c r="E597" s="4">
        <f>SUM($F$9:G596)+0.1</f>
        <v>712.1</v>
      </c>
      <c r="F597" s="4"/>
    </row>
    <row r="598" spans="1:6" x14ac:dyDescent="0.35">
      <c r="A598" s="1" t="s">
        <v>92</v>
      </c>
      <c r="B598">
        <v>60</v>
      </c>
      <c r="E598" s="4">
        <f>SUM($F$9:G597)+0.1</f>
        <v>712.1</v>
      </c>
      <c r="F598" s="4"/>
    </row>
    <row r="599" spans="1:6" x14ac:dyDescent="0.35">
      <c r="A599" s="1" t="s">
        <v>206</v>
      </c>
      <c r="B599">
        <v>60</v>
      </c>
      <c r="E599" s="4">
        <f>SUM($F$9:G598)+0.1</f>
        <v>712.1</v>
      </c>
      <c r="F599" s="4"/>
    </row>
    <row r="600" spans="1:6" x14ac:dyDescent="0.35">
      <c r="A600" s="1" t="s">
        <v>93</v>
      </c>
      <c r="B600">
        <v>60</v>
      </c>
      <c r="C600" t="s">
        <v>901</v>
      </c>
      <c r="E600" s="4">
        <f>SUM($F$9:G599)+0.1</f>
        <v>712.1</v>
      </c>
      <c r="F600" s="4"/>
    </row>
    <row r="601" spans="1:6" x14ac:dyDescent="0.35">
      <c r="A601" s="1" t="s">
        <v>345</v>
      </c>
      <c r="B601">
        <v>60</v>
      </c>
      <c r="C601" t="s">
        <v>900</v>
      </c>
      <c r="E601" s="4">
        <f>SUM($F$9:G600)+0.1</f>
        <v>712.1</v>
      </c>
      <c r="F601" s="4"/>
    </row>
    <row r="602" spans="1:6" x14ac:dyDescent="0.35">
      <c r="A602" s="1" t="s">
        <v>346</v>
      </c>
      <c r="B602">
        <v>60</v>
      </c>
      <c r="C602" t="s">
        <v>900</v>
      </c>
      <c r="E602" s="4">
        <f>SUM($F$9:G601)+0.1</f>
        <v>712.1</v>
      </c>
      <c r="F602" s="4"/>
    </row>
    <row r="603" spans="1:6" x14ac:dyDescent="0.35">
      <c r="A603" s="1" t="s">
        <v>746</v>
      </c>
      <c r="B603">
        <v>60</v>
      </c>
      <c r="C603" t="s">
        <v>900</v>
      </c>
      <c r="E603" s="4">
        <f>SUM($F$9:G602)+0.1</f>
        <v>712.1</v>
      </c>
      <c r="F603" s="4"/>
    </row>
    <row r="604" spans="1:6" x14ac:dyDescent="0.35">
      <c r="A604" s="1" t="s">
        <v>747</v>
      </c>
      <c r="B604">
        <v>60</v>
      </c>
      <c r="E604" s="4">
        <f>SUM($F$9:G603)+0.1</f>
        <v>712.1</v>
      </c>
      <c r="F604" s="4"/>
    </row>
    <row r="605" spans="1:6" x14ac:dyDescent="0.35">
      <c r="A605" s="1" t="s">
        <v>665</v>
      </c>
      <c r="B605">
        <v>30</v>
      </c>
      <c r="E605" s="4">
        <f>SUM($F$9:G604)+0.1</f>
        <v>712.1</v>
      </c>
      <c r="F605" s="4"/>
    </row>
    <row r="606" spans="1:6" x14ac:dyDescent="0.35">
      <c r="A606" s="1" t="s">
        <v>347</v>
      </c>
      <c r="B606">
        <v>30</v>
      </c>
      <c r="C606" t="s">
        <v>903</v>
      </c>
      <c r="E606" s="4">
        <f>SUM($F$9:G605)+0.1</f>
        <v>712.1</v>
      </c>
      <c r="F606" s="4"/>
    </row>
    <row r="607" spans="1:6" x14ac:dyDescent="0.35">
      <c r="A607" s="1" t="s">
        <v>627</v>
      </c>
      <c r="B607">
        <v>60</v>
      </c>
      <c r="E607" s="4">
        <f>SUM($F$9:G606)+0.1</f>
        <v>712.1</v>
      </c>
      <c r="F607" s="4"/>
    </row>
    <row r="608" spans="1:6" x14ac:dyDescent="0.35">
      <c r="A608" s="1" t="s">
        <v>1906</v>
      </c>
      <c r="E608" s="4">
        <f>SUM($F$9:G607)+0.1</f>
        <v>712.1</v>
      </c>
      <c r="F608" s="4">
        <v>10</v>
      </c>
    </row>
    <row r="609" spans="1:7" x14ac:dyDescent="0.35">
      <c r="A609" s="1" t="s">
        <v>411</v>
      </c>
      <c r="B609">
        <v>60</v>
      </c>
      <c r="E609" s="4">
        <f>SUM($F$9:G608)+0.1</f>
        <v>722.1</v>
      </c>
      <c r="F609" s="4"/>
    </row>
    <row r="610" spans="1:7" x14ac:dyDescent="0.35">
      <c r="A610" s="1" t="s">
        <v>748</v>
      </c>
      <c r="B610">
        <v>60</v>
      </c>
      <c r="E610" s="4">
        <f>SUM($F$9:G609)+0.1</f>
        <v>722.1</v>
      </c>
      <c r="F610" s="4"/>
      <c r="G610">
        <v>250</v>
      </c>
    </row>
    <row r="611" spans="1:7" x14ac:dyDescent="0.35">
      <c r="A611" s="1" t="s">
        <v>890</v>
      </c>
      <c r="B611">
        <v>60</v>
      </c>
      <c r="C611" t="s">
        <v>901</v>
      </c>
      <c r="D611" t="s">
        <v>912</v>
      </c>
      <c r="E611" s="4">
        <f>SUM($F$9:G610)+0.1</f>
        <v>972.1</v>
      </c>
      <c r="F611" s="4"/>
    </row>
    <row r="612" spans="1:7" x14ac:dyDescent="0.35">
      <c r="A612" s="1" t="s">
        <v>166</v>
      </c>
      <c r="B612">
        <v>60</v>
      </c>
      <c r="E612" s="4">
        <f>SUM($F$9:G611)+0.1</f>
        <v>972.1</v>
      </c>
      <c r="F612" s="4"/>
    </row>
    <row r="613" spans="1:7" x14ac:dyDescent="0.35">
      <c r="A613" s="1" t="s">
        <v>1912</v>
      </c>
      <c r="E613" s="4">
        <f>SUM($F$9:G612)+0.1</f>
        <v>972.1</v>
      </c>
      <c r="F613" s="4"/>
    </row>
    <row r="614" spans="1:7" x14ac:dyDescent="0.35">
      <c r="A614" s="1" t="s">
        <v>94</v>
      </c>
      <c r="B614">
        <v>60</v>
      </c>
      <c r="E614" s="4">
        <f>SUM($F$9:G613)+0.1</f>
        <v>972.1</v>
      </c>
      <c r="F614" s="4"/>
    </row>
    <row r="615" spans="1:7" x14ac:dyDescent="0.35">
      <c r="A615" s="1" t="s">
        <v>209</v>
      </c>
      <c r="B615">
        <v>30</v>
      </c>
      <c r="C615" t="s">
        <v>901</v>
      </c>
      <c r="E615" s="4">
        <f>SUM($F$9:G614)+0.1</f>
        <v>972.1</v>
      </c>
      <c r="F615" s="4"/>
    </row>
    <row r="616" spans="1:7" x14ac:dyDescent="0.35">
      <c r="A616" s="1" t="s">
        <v>348</v>
      </c>
      <c r="B616">
        <v>30</v>
      </c>
      <c r="E616" s="4">
        <f>SUM($F$9:G615)+0.1</f>
        <v>972.1</v>
      </c>
      <c r="F616" s="4"/>
    </row>
    <row r="617" spans="1:7" x14ac:dyDescent="0.35">
      <c r="A617" s="1" t="s">
        <v>532</v>
      </c>
      <c r="B617">
        <v>30</v>
      </c>
      <c r="E617" s="4">
        <f>SUM($F$9:G616)+0.1</f>
        <v>972.1</v>
      </c>
      <c r="F617" s="4"/>
    </row>
    <row r="618" spans="1:7" x14ac:dyDescent="0.35">
      <c r="A618" s="1" t="s">
        <v>859</v>
      </c>
      <c r="B618">
        <v>60</v>
      </c>
      <c r="E618" s="4">
        <f>SUM($F$9:G617)+0.1</f>
        <v>972.1</v>
      </c>
      <c r="F618" s="4"/>
    </row>
    <row r="619" spans="1:7" x14ac:dyDescent="0.35">
      <c r="A619" s="1" t="s">
        <v>533</v>
      </c>
      <c r="B619">
        <v>60</v>
      </c>
      <c r="E619" s="4">
        <f>SUM($F$9:G618)+0.1</f>
        <v>972.1</v>
      </c>
      <c r="F619" s="4"/>
    </row>
    <row r="620" spans="1:7" x14ac:dyDescent="0.35">
      <c r="A620" s="1" t="s">
        <v>95</v>
      </c>
      <c r="B620">
        <v>60</v>
      </c>
      <c r="E620" s="4">
        <f>SUM($F$9:G619)+0.1</f>
        <v>972.1</v>
      </c>
      <c r="F620" s="4">
        <v>5</v>
      </c>
    </row>
    <row r="621" spans="1:7" x14ac:dyDescent="0.35">
      <c r="A621" s="1" t="s">
        <v>412</v>
      </c>
      <c r="B621">
        <v>60</v>
      </c>
      <c r="E621" s="4">
        <f>SUM($F$9:G620)+0.1</f>
        <v>977.1</v>
      </c>
      <c r="F621" s="4"/>
    </row>
    <row r="622" spans="1:7" x14ac:dyDescent="0.35">
      <c r="A622" s="13" t="s">
        <v>96</v>
      </c>
      <c r="B622">
        <v>60</v>
      </c>
      <c r="E622" s="4">
        <f>SUM($F$9:G621)+0.1</f>
        <v>977.1</v>
      </c>
      <c r="F622" s="4"/>
    </row>
    <row r="623" spans="1:7" x14ac:dyDescent="0.35">
      <c r="A623" s="1" t="s">
        <v>628</v>
      </c>
      <c r="B623">
        <v>60</v>
      </c>
      <c r="E623" s="4">
        <f>SUM($F$9:G622)+0.1</f>
        <v>977.1</v>
      </c>
      <c r="F623" s="4">
        <v>1</v>
      </c>
    </row>
    <row r="624" spans="1:7" x14ac:dyDescent="0.35">
      <c r="A624" s="1" t="s">
        <v>570</v>
      </c>
      <c r="B624">
        <v>60</v>
      </c>
      <c r="E624" s="4">
        <f>SUM($F$9:G623)+0.1</f>
        <v>978.1</v>
      </c>
      <c r="F624" s="4"/>
    </row>
    <row r="625" spans="1:6" x14ac:dyDescent="0.35">
      <c r="A625" s="1" t="s">
        <v>749</v>
      </c>
      <c r="B625">
        <v>30</v>
      </c>
      <c r="E625" s="4">
        <f>SUM($F$9:G624)+0.1</f>
        <v>978.1</v>
      </c>
      <c r="F625" s="4">
        <v>5</v>
      </c>
    </row>
    <row r="626" spans="1:6" x14ac:dyDescent="0.35">
      <c r="A626" s="1" t="s">
        <v>707</v>
      </c>
      <c r="B626">
        <v>60</v>
      </c>
      <c r="C626" t="s">
        <v>901</v>
      </c>
      <c r="E626" s="4">
        <f>SUM($F$9:G625)+0.1</f>
        <v>983.1</v>
      </c>
      <c r="F626" s="4"/>
    </row>
    <row r="627" spans="1:6" x14ac:dyDescent="0.35">
      <c r="A627" s="1" t="s">
        <v>708</v>
      </c>
      <c r="B627">
        <v>30</v>
      </c>
      <c r="E627" s="4">
        <f>SUM($F$9:G626)+0.1</f>
        <v>983.1</v>
      </c>
      <c r="F627" s="4"/>
    </row>
    <row r="628" spans="1:6" x14ac:dyDescent="0.35">
      <c r="A628" s="1" t="s">
        <v>349</v>
      </c>
      <c r="B628">
        <v>60</v>
      </c>
      <c r="C628" t="s">
        <v>900</v>
      </c>
      <c r="E628" s="4">
        <f>SUM($F$9:G627)+0.1</f>
        <v>983.1</v>
      </c>
      <c r="F628" s="4"/>
    </row>
    <row r="629" spans="1:6" x14ac:dyDescent="0.35">
      <c r="A629" s="1" t="s">
        <v>350</v>
      </c>
      <c r="B629">
        <v>60</v>
      </c>
      <c r="C629" t="s">
        <v>900</v>
      </c>
      <c r="E629" s="4">
        <f>SUM($F$9:G628)+0.1</f>
        <v>983.1</v>
      </c>
      <c r="F629" s="4"/>
    </row>
    <row r="630" spans="1:6" x14ac:dyDescent="0.35">
      <c r="A630" s="1" t="s">
        <v>351</v>
      </c>
      <c r="B630">
        <v>60</v>
      </c>
      <c r="C630" t="s">
        <v>900</v>
      </c>
      <c r="E630" s="4">
        <f>SUM($F$9:G629)+0.1</f>
        <v>983.1</v>
      </c>
      <c r="F630" s="4"/>
    </row>
    <row r="631" spans="1:6" x14ac:dyDescent="0.35">
      <c r="A631" s="1" t="s">
        <v>629</v>
      </c>
      <c r="B631">
        <v>60</v>
      </c>
      <c r="E631" s="4">
        <f>SUM($F$9:G630)+0.1</f>
        <v>983.1</v>
      </c>
      <c r="F631" s="4">
        <v>25</v>
      </c>
    </row>
    <row r="632" spans="1:6" x14ac:dyDescent="0.35">
      <c r="A632" s="1" t="s">
        <v>97</v>
      </c>
      <c r="B632">
        <v>60</v>
      </c>
      <c r="E632" s="4">
        <f>SUM($F$9:G631)+0.1</f>
        <v>1008.1</v>
      </c>
      <c r="F632" s="4">
        <v>5</v>
      </c>
    </row>
    <row r="633" spans="1:6" x14ac:dyDescent="0.35">
      <c r="A633" s="1" t="s">
        <v>534</v>
      </c>
      <c r="B633">
        <v>60</v>
      </c>
      <c r="E633" s="4">
        <f>SUM($F$9:G632)+0.1</f>
        <v>1013.1</v>
      </c>
      <c r="F633" s="4"/>
    </row>
    <row r="634" spans="1:6" x14ac:dyDescent="0.35">
      <c r="A634" s="1" t="s">
        <v>709</v>
      </c>
      <c r="B634">
        <v>60</v>
      </c>
      <c r="E634" s="4">
        <f>SUM($F$9:G633)+0.1</f>
        <v>1013.1</v>
      </c>
      <c r="F634" s="4">
        <v>10</v>
      </c>
    </row>
    <row r="635" spans="1:6" x14ac:dyDescent="0.35">
      <c r="A635" s="1" t="s">
        <v>352</v>
      </c>
      <c r="B635">
        <v>60</v>
      </c>
      <c r="E635" s="4">
        <f>SUM($F$9:G634)+0.1</f>
        <v>1023.1</v>
      </c>
      <c r="F635" s="4">
        <v>20</v>
      </c>
    </row>
    <row r="636" spans="1:6" x14ac:dyDescent="0.35">
      <c r="A636" s="1" t="s">
        <v>212</v>
      </c>
      <c r="B636">
        <v>60</v>
      </c>
      <c r="E636" s="4">
        <f>SUM($F$9:G635)+0.1</f>
        <v>1043.0999999999999</v>
      </c>
      <c r="F636" s="4"/>
    </row>
    <row r="637" spans="1:6" x14ac:dyDescent="0.35">
      <c r="A637" s="1" t="s">
        <v>98</v>
      </c>
      <c r="B637">
        <v>60</v>
      </c>
      <c r="C637" t="s">
        <v>901</v>
      </c>
      <c r="D637" t="s">
        <v>13</v>
      </c>
      <c r="E637" s="4">
        <f>SUM($F$9:G636)+0.1</f>
        <v>1043.0999999999999</v>
      </c>
      <c r="F637" s="4"/>
    </row>
    <row r="638" spans="1:6" x14ac:dyDescent="0.35">
      <c r="A638" s="1" t="s">
        <v>353</v>
      </c>
      <c r="B638">
        <v>60</v>
      </c>
      <c r="C638" t="s">
        <v>901</v>
      </c>
      <c r="E638" s="4">
        <f>SUM($F$9:G637)+0.1</f>
        <v>1043.0999999999999</v>
      </c>
      <c r="F638" s="4"/>
    </row>
    <row r="639" spans="1:6" x14ac:dyDescent="0.35">
      <c r="A639" s="1" t="s">
        <v>813</v>
      </c>
      <c r="B639">
        <v>60</v>
      </c>
      <c r="E639" s="4">
        <f>SUM($F$9:G638)+0.1</f>
        <v>1043.0999999999999</v>
      </c>
      <c r="F639" s="4"/>
    </row>
    <row r="640" spans="1:6" x14ac:dyDescent="0.35">
      <c r="A640" s="1" t="s">
        <v>99</v>
      </c>
      <c r="B640">
        <v>60</v>
      </c>
      <c r="C640" t="s">
        <v>901</v>
      </c>
      <c r="E640" s="4">
        <f>SUM($F$9:G639)+0.1</f>
        <v>1043.0999999999999</v>
      </c>
      <c r="F640" s="4"/>
    </row>
    <row r="641" spans="1:6" x14ac:dyDescent="0.35">
      <c r="A641" s="1" t="s">
        <v>535</v>
      </c>
      <c r="B641">
        <v>60</v>
      </c>
      <c r="E641" s="4">
        <f>SUM($F$9:G640)+0.1</f>
        <v>1043.0999999999999</v>
      </c>
      <c r="F641" s="4"/>
    </row>
    <row r="642" spans="1:6" x14ac:dyDescent="0.35">
      <c r="A642" s="1" t="s">
        <v>100</v>
      </c>
      <c r="B642">
        <v>30</v>
      </c>
      <c r="E642" s="4">
        <f>SUM($F$9:G641)+0.1</f>
        <v>1043.0999999999999</v>
      </c>
      <c r="F642" s="4"/>
    </row>
    <row r="643" spans="1:6" x14ac:dyDescent="0.35">
      <c r="A643" s="1" t="s">
        <v>630</v>
      </c>
      <c r="B643">
        <v>60</v>
      </c>
      <c r="E643" s="4">
        <f>SUM($F$9:G642)+0.1</f>
        <v>1043.0999999999999</v>
      </c>
      <c r="F643" s="4"/>
    </row>
    <row r="644" spans="1:6" x14ac:dyDescent="0.35">
      <c r="A644" s="1" t="s">
        <v>354</v>
      </c>
      <c r="B644">
        <v>30</v>
      </c>
      <c r="C644" t="s">
        <v>903</v>
      </c>
      <c r="E644" s="4">
        <f>SUM($F$9:G643)+0.1</f>
        <v>1043.0999999999999</v>
      </c>
      <c r="F644" s="4"/>
    </row>
    <row r="645" spans="1:6" x14ac:dyDescent="0.35">
      <c r="A645" s="1" t="s">
        <v>710</v>
      </c>
      <c r="B645">
        <v>30</v>
      </c>
      <c r="E645" s="4">
        <f>SUM($F$9:G644)+0.1</f>
        <v>1043.0999999999999</v>
      </c>
      <c r="F645" s="4">
        <v>1</v>
      </c>
    </row>
    <row r="646" spans="1:6" x14ac:dyDescent="0.35">
      <c r="A646" s="1" t="s">
        <v>355</v>
      </c>
      <c r="B646">
        <v>60</v>
      </c>
      <c r="E646" s="4">
        <f>SUM($F$9:G645)+0.1</f>
        <v>1044.0999999999999</v>
      </c>
      <c r="F646" s="4"/>
    </row>
    <row r="647" spans="1:6" x14ac:dyDescent="0.35">
      <c r="A647" s="1" t="s">
        <v>536</v>
      </c>
      <c r="B647">
        <v>30</v>
      </c>
      <c r="E647" s="4">
        <f>SUM($F$9:G646)+0.1</f>
        <v>1044.0999999999999</v>
      </c>
      <c r="F647" s="4">
        <v>1</v>
      </c>
    </row>
    <row r="648" spans="1:6" x14ac:dyDescent="0.35">
      <c r="A648" s="1" t="s">
        <v>101</v>
      </c>
      <c r="B648">
        <v>60</v>
      </c>
      <c r="E648" s="4">
        <f>SUM($F$9:G647)+0.1</f>
        <v>1045.0999999999999</v>
      </c>
      <c r="F648" s="4"/>
    </row>
    <row r="649" spans="1:6" x14ac:dyDescent="0.35">
      <c r="A649" s="1" t="s">
        <v>711</v>
      </c>
      <c r="B649">
        <v>60</v>
      </c>
      <c r="E649" s="4">
        <f>SUM($F$9:G648)+0.1</f>
        <v>1045.0999999999999</v>
      </c>
      <c r="F649" s="4"/>
    </row>
    <row r="650" spans="1:6" x14ac:dyDescent="0.35">
      <c r="A650" s="1" t="s">
        <v>413</v>
      </c>
      <c r="B650">
        <v>30</v>
      </c>
      <c r="E650" s="4">
        <f>SUM($F$9:G649)+0.1</f>
        <v>1045.0999999999999</v>
      </c>
      <c r="F650" s="4"/>
    </row>
    <row r="651" spans="1:6" x14ac:dyDescent="0.35">
      <c r="A651" s="1" t="s">
        <v>631</v>
      </c>
      <c r="B651">
        <v>30</v>
      </c>
      <c r="E651" s="4">
        <f>SUM($F$9:G650)+0.1</f>
        <v>1045.0999999999999</v>
      </c>
      <c r="F651" s="4"/>
    </row>
    <row r="652" spans="1:6" x14ac:dyDescent="0.35">
      <c r="A652" s="1" t="s">
        <v>750</v>
      </c>
      <c r="B652">
        <v>60</v>
      </c>
      <c r="C652" t="s">
        <v>900</v>
      </c>
      <c r="E652" s="4">
        <f>SUM($F$9:G651)+0.1</f>
        <v>1045.0999999999999</v>
      </c>
      <c r="F652" s="4"/>
    </row>
    <row r="653" spans="1:6" x14ac:dyDescent="0.35">
      <c r="A653" s="1" t="s">
        <v>356</v>
      </c>
      <c r="B653">
        <v>30</v>
      </c>
      <c r="C653" t="s">
        <v>900</v>
      </c>
      <c r="E653" s="4">
        <f>SUM($F$9:G652)+0.1</f>
        <v>1045.0999999999999</v>
      </c>
      <c r="F653" s="4"/>
    </row>
    <row r="654" spans="1:6" x14ac:dyDescent="0.35">
      <c r="A654" s="1" t="s">
        <v>648</v>
      </c>
      <c r="B654">
        <v>60</v>
      </c>
      <c r="C654">
        <v>1</v>
      </c>
      <c r="E654" s="4">
        <f>SUM($F$9:G653)+0.1</f>
        <v>1045.0999999999999</v>
      </c>
      <c r="F654" s="4"/>
    </row>
    <row r="655" spans="1:6" x14ac:dyDescent="0.35">
      <c r="A655" s="1" t="s">
        <v>712</v>
      </c>
      <c r="B655">
        <v>60</v>
      </c>
      <c r="E655" s="4">
        <f>SUM($F$9:G654)+0.1</f>
        <v>1045.0999999999999</v>
      </c>
      <c r="F655" s="4"/>
    </row>
    <row r="656" spans="1:6" x14ac:dyDescent="0.35">
      <c r="A656" s="1" t="s">
        <v>414</v>
      </c>
      <c r="B656">
        <v>60</v>
      </c>
      <c r="C656" t="s">
        <v>900</v>
      </c>
      <c r="E656" s="4">
        <f>SUM($F$9:G655)+0.1</f>
        <v>1045.0999999999999</v>
      </c>
      <c r="F656" s="4"/>
    </row>
    <row r="657" spans="1:6" x14ac:dyDescent="0.35">
      <c r="A657" s="1" t="s">
        <v>814</v>
      </c>
      <c r="B657">
        <v>30</v>
      </c>
      <c r="E657" s="4">
        <f>SUM($F$9:G656)+0.1</f>
        <v>1045.0999999999999</v>
      </c>
      <c r="F657" s="4"/>
    </row>
    <row r="658" spans="1:6" x14ac:dyDescent="0.35">
      <c r="A658" s="1" t="s">
        <v>357</v>
      </c>
      <c r="B658">
        <v>60</v>
      </c>
      <c r="C658" t="s">
        <v>901</v>
      </c>
      <c r="E658" s="4">
        <f>SUM($F$9:G657)+0.1</f>
        <v>1045.0999999999999</v>
      </c>
      <c r="F658" s="4"/>
    </row>
    <row r="659" spans="1:6" x14ac:dyDescent="0.35">
      <c r="A659" s="1" t="s">
        <v>102</v>
      </c>
      <c r="B659">
        <v>60</v>
      </c>
      <c r="C659" t="s">
        <v>900</v>
      </c>
      <c r="E659" s="4">
        <f>SUM($F$9:G658)+0.1</f>
        <v>1045.0999999999999</v>
      </c>
      <c r="F659" s="4"/>
    </row>
    <row r="660" spans="1:6" x14ac:dyDescent="0.35">
      <c r="A660" s="1" t="s">
        <v>713</v>
      </c>
      <c r="B660">
        <v>60</v>
      </c>
      <c r="C660" t="s">
        <v>900</v>
      </c>
      <c r="E660" s="4">
        <f>SUM($F$9:G659)+0.1</f>
        <v>1045.0999999999999</v>
      </c>
      <c r="F660" s="4"/>
    </row>
    <row r="661" spans="1:6" x14ac:dyDescent="0.35">
      <c r="A661" s="1" t="s">
        <v>815</v>
      </c>
      <c r="B661">
        <v>30</v>
      </c>
      <c r="E661" s="4">
        <f>SUM($F$9:G660)+0.1</f>
        <v>1045.0999999999999</v>
      </c>
      <c r="F661" s="4"/>
    </row>
    <row r="662" spans="1:6" x14ac:dyDescent="0.35">
      <c r="A662" s="1" t="s">
        <v>751</v>
      </c>
      <c r="B662">
        <v>60</v>
      </c>
      <c r="C662" t="s">
        <v>901</v>
      </c>
      <c r="E662" s="4">
        <f>SUM($F$9:G661)+0.1</f>
        <v>1045.0999999999999</v>
      </c>
      <c r="F662" s="4"/>
    </row>
    <row r="663" spans="1:6" x14ac:dyDescent="0.35">
      <c r="A663" s="1" t="s">
        <v>860</v>
      </c>
      <c r="B663">
        <v>60</v>
      </c>
      <c r="E663" s="4">
        <f>SUM($F$9:G662)+0.1</f>
        <v>1045.0999999999999</v>
      </c>
      <c r="F663" s="4">
        <v>5</v>
      </c>
    </row>
    <row r="664" spans="1:6" x14ac:dyDescent="0.35">
      <c r="A664" s="1" t="s">
        <v>103</v>
      </c>
      <c r="B664">
        <v>30</v>
      </c>
      <c r="E664" s="4">
        <f>SUM($F$9:G663)+0.1</f>
        <v>1050.0999999999999</v>
      </c>
      <c r="F664" s="4"/>
    </row>
    <row r="665" spans="1:6" x14ac:dyDescent="0.35">
      <c r="A665" s="1" t="s">
        <v>415</v>
      </c>
      <c r="B665">
        <v>60</v>
      </c>
      <c r="E665" s="4">
        <f>SUM($F$9:G664)+0.1</f>
        <v>1050.0999999999999</v>
      </c>
      <c r="F665" s="4"/>
    </row>
    <row r="666" spans="1:6" x14ac:dyDescent="0.35">
      <c r="A666" s="1" t="s">
        <v>632</v>
      </c>
      <c r="B666">
        <v>60</v>
      </c>
      <c r="E666" s="4">
        <f>SUM($F$9:G665)+0.1</f>
        <v>1050.0999999999999</v>
      </c>
      <c r="F666" s="4"/>
    </row>
    <row r="667" spans="1:6" x14ac:dyDescent="0.35">
      <c r="A667" s="1" t="s">
        <v>633</v>
      </c>
      <c r="B667">
        <v>60</v>
      </c>
      <c r="E667" s="4">
        <f>SUM($F$9:G666)+0.1</f>
        <v>1050.0999999999999</v>
      </c>
      <c r="F667" s="4">
        <v>15</v>
      </c>
    </row>
    <row r="668" spans="1:6" x14ac:dyDescent="0.35">
      <c r="A668" s="1" t="s">
        <v>162</v>
      </c>
      <c r="B668">
        <v>60</v>
      </c>
      <c r="E668" s="4">
        <f>SUM($F$9:G667)+0.1</f>
        <v>1065.0999999999999</v>
      </c>
      <c r="F668" s="4"/>
    </row>
    <row r="669" spans="1:6" x14ac:dyDescent="0.35">
      <c r="A669" s="1" t="s">
        <v>634</v>
      </c>
      <c r="B669">
        <v>60</v>
      </c>
      <c r="E669" s="4">
        <f>SUM($F$9:G668)+0.1</f>
        <v>1065.0999999999999</v>
      </c>
      <c r="F669" s="4"/>
    </row>
    <row r="670" spans="1:6" x14ac:dyDescent="0.35">
      <c r="A670" s="1" t="s">
        <v>869</v>
      </c>
      <c r="B670">
        <v>60</v>
      </c>
      <c r="C670" t="s">
        <v>901</v>
      </c>
      <c r="E670" s="4">
        <f>SUM($F$9:G669)+0.1</f>
        <v>1065.0999999999999</v>
      </c>
      <c r="F670" s="4"/>
    </row>
    <row r="671" spans="1:6" x14ac:dyDescent="0.35">
      <c r="A671" s="1" t="s">
        <v>104</v>
      </c>
      <c r="B671">
        <v>60</v>
      </c>
      <c r="E671" s="4">
        <f>SUM($F$9:G670)+0.1</f>
        <v>1065.0999999999999</v>
      </c>
      <c r="F671" s="4">
        <v>5</v>
      </c>
    </row>
    <row r="672" spans="1:6" x14ac:dyDescent="0.35">
      <c r="A672" s="1" t="s">
        <v>816</v>
      </c>
      <c r="B672">
        <v>60</v>
      </c>
      <c r="E672" s="4">
        <f>SUM($F$9:G671)+0.1</f>
        <v>1070.0999999999999</v>
      </c>
      <c r="F672" s="4"/>
    </row>
    <row r="673" spans="1:6" x14ac:dyDescent="0.35">
      <c r="A673" s="1" t="s">
        <v>105</v>
      </c>
      <c r="B673">
        <v>60</v>
      </c>
      <c r="E673" s="4">
        <f>SUM($F$9:G672)+0.1</f>
        <v>1070.0999999999999</v>
      </c>
      <c r="F673" s="4">
        <v>1</v>
      </c>
    </row>
    <row r="674" spans="1:6" x14ac:dyDescent="0.35">
      <c r="A674" s="1" t="s">
        <v>788</v>
      </c>
      <c r="E674" s="4">
        <f>SUM($F$9:G673)+0.1</f>
        <v>1071.0999999999999</v>
      </c>
      <c r="F674" s="4"/>
    </row>
    <row r="675" spans="1:6" x14ac:dyDescent="0.35">
      <c r="A675" s="1" t="s">
        <v>416</v>
      </c>
      <c r="B675">
        <v>60</v>
      </c>
      <c r="C675" t="s">
        <v>900</v>
      </c>
      <c r="E675" s="4">
        <f>SUM($F$9:G674)+0.1</f>
        <v>1071.0999999999999</v>
      </c>
      <c r="F675" s="4"/>
    </row>
    <row r="676" spans="1:6" x14ac:dyDescent="0.35">
      <c r="A676" s="1" t="s">
        <v>571</v>
      </c>
      <c r="B676">
        <v>60</v>
      </c>
      <c r="E676" s="4">
        <f>SUM($F$9:G675)+0.1</f>
        <v>1071.0999999999999</v>
      </c>
      <c r="F676" s="4"/>
    </row>
    <row r="677" spans="1:6" x14ac:dyDescent="0.35">
      <c r="A677" s="1" t="s">
        <v>1842</v>
      </c>
      <c r="E677" s="4">
        <f>SUM($F$9:G676)+0.1</f>
        <v>1071.0999999999999</v>
      </c>
      <c r="F677" s="4"/>
    </row>
    <row r="678" spans="1:6" x14ac:dyDescent="0.35">
      <c r="A678" s="1" t="s">
        <v>714</v>
      </c>
      <c r="B678">
        <v>60</v>
      </c>
      <c r="C678" t="s">
        <v>900</v>
      </c>
      <c r="E678" s="4">
        <f>SUM($F$9:G677)+0.1</f>
        <v>1071.0999999999999</v>
      </c>
      <c r="F678" s="4"/>
    </row>
    <row r="679" spans="1:6" x14ac:dyDescent="0.35">
      <c r="A679" s="1" t="s">
        <v>358</v>
      </c>
      <c r="B679">
        <v>60</v>
      </c>
      <c r="C679" t="s">
        <v>901</v>
      </c>
      <c r="D679" t="s">
        <v>242</v>
      </c>
      <c r="E679" s="4">
        <f>SUM($F$9:G678)+0.1</f>
        <v>1071.0999999999999</v>
      </c>
      <c r="F679" s="4"/>
    </row>
    <row r="680" spans="1:6" x14ac:dyDescent="0.35">
      <c r="A680" s="1" t="s">
        <v>359</v>
      </c>
      <c r="B680">
        <v>60</v>
      </c>
      <c r="E680" s="4">
        <f>SUM($F$9:G679)+0.1</f>
        <v>1071.0999999999999</v>
      </c>
      <c r="F680" s="4"/>
    </row>
    <row r="681" spans="1:6" x14ac:dyDescent="0.35">
      <c r="A681" s="1" t="s">
        <v>417</v>
      </c>
      <c r="B681">
        <v>60</v>
      </c>
      <c r="C681" t="s">
        <v>901</v>
      </c>
      <c r="E681" s="4">
        <f>SUM($F$9:G680)+0.1</f>
        <v>1071.0999999999999</v>
      </c>
      <c r="F681" s="4"/>
    </row>
    <row r="682" spans="1:6" x14ac:dyDescent="0.35">
      <c r="A682" s="1" t="s">
        <v>106</v>
      </c>
      <c r="B682">
        <v>60</v>
      </c>
      <c r="C682">
        <v>1</v>
      </c>
      <c r="E682" s="4">
        <f>SUM($F$9:G681)+0.1</f>
        <v>1071.0999999999999</v>
      </c>
      <c r="F682" s="4"/>
    </row>
    <row r="683" spans="1:6" x14ac:dyDescent="0.35">
      <c r="A683" s="1" t="s">
        <v>538</v>
      </c>
      <c r="B683">
        <v>30</v>
      </c>
      <c r="E683" s="4">
        <f>SUM($F$9:G682)+0.1</f>
        <v>1071.0999999999999</v>
      </c>
      <c r="F683" s="4"/>
    </row>
    <row r="684" spans="1:6" x14ac:dyDescent="0.35">
      <c r="A684" s="1" t="s">
        <v>537</v>
      </c>
      <c r="B684">
        <v>30</v>
      </c>
      <c r="E684" s="4">
        <f>SUM($F$9:G683)+0.1</f>
        <v>1071.0999999999999</v>
      </c>
      <c r="F684" s="4"/>
    </row>
    <row r="685" spans="1:6" x14ac:dyDescent="0.35">
      <c r="A685" s="1" t="s">
        <v>360</v>
      </c>
      <c r="B685">
        <v>60</v>
      </c>
      <c r="C685">
        <v>1</v>
      </c>
      <c r="E685" s="4">
        <f>SUM($F$9:G684)+0.1</f>
        <v>1071.0999999999999</v>
      </c>
      <c r="F685" s="4"/>
    </row>
    <row r="686" spans="1:6" x14ac:dyDescent="0.35">
      <c r="A686" s="1" t="s">
        <v>107</v>
      </c>
      <c r="B686">
        <v>60</v>
      </c>
      <c r="E686" s="4">
        <f>SUM($F$9:G685)+0.1</f>
        <v>1071.0999999999999</v>
      </c>
      <c r="F686" s="4">
        <v>1</v>
      </c>
    </row>
    <row r="687" spans="1:6" x14ac:dyDescent="0.35">
      <c r="A687" s="1" t="s">
        <v>635</v>
      </c>
      <c r="B687">
        <v>60</v>
      </c>
      <c r="E687" s="4">
        <f>SUM($F$9:G686)+0.1</f>
        <v>1072.0999999999999</v>
      </c>
      <c r="F687" s="4">
        <v>1</v>
      </c>
    </row>
    <row r="688" spans="1:6" x14ac:dyDescent="0.35">
      <c r="A688" s="1" t="s">
        <v>418</v>
      </c>
      <c r="B688">
        <v>60</v>
      </c>
      <c r="C688" t="s">
        <v>900</v>
      </c>
      <c r="E688" s="4">
        <f>SUM($F$9:G687)+0.1</f>
        <v>1073.0999999999999</v>
      </c>
      <c r="F688" s="4"/>
    </row>
    <row r="689" spans="1:6" x14ac:dyDescent="0.35">
      <c r="A689" s="1" t="s">
        <v>361</v>
      </c>
      <c r="B689">
        <v>30</v>
      </c>
      <c r="E689" s="4">
        <f>SUM($F$9:G688)+0.1</f>
        <v>1073.0999999999999</v>
      </c>
      <c r="F689" s="4"/>
    </row>
    <row r="690" spans="1:6" x14ac:dyDescent="0.35">
      <c r="A690" s="1" t="s">
        <v>362</v>
      </c>
      <c r="B690">
        <v>60</v>
      </c>
      <c r="E690" s="4">
        <f>SUM($F$9:G689)+0.1</f>
        <v>1073.0999999999999</v>
      </c>
      <c r="F690" s="4"/>
    </row>
    <row r="691" spans="1:6" x14ac:dyDescent="0.35">
      <c r="A691" s="1" t="s">
        <v>539</v>
      </c>
      <c r="B691">
        <v>30</v>
      </c>
      <c r="E691" s="4">
        <f>SUM($F$9:G690)+0.1</f>
        <v>1073.0999999999999</v>
      </c>
      <c r="F691" s="4"/>
    </row>
    <row r="692" spans="1:6" x14ac:dyDescent="0.35">
      <c r="A692" s="1" t="s">
        <v>419</v>
      </c>
      <c r="B692">
        <v>60</v>
      </c>
      <c r="E692" s="4">
        <f>SUM($F$9:G691)+0.1</f>
        <v>1073.0999999999999</v>
      </c>
      <c r="F692" s="4"/>
    </row>
    <row r="693" spans="1:6" x14ac:dyDescent="0.35">
      <c r="A693" s="1" t="s">
        <v>363</v>
      </c>
      <c r="B693">
        <v>60</v>
      </c>
      <c r="E693" s="4">
        <f>SUM($F$9:G692)+0.1</f>
        <v>1073.0999999999999</v>
      </c>
      <c r="F693" s="4"/>
    </row>
    <row r="694" spans="1:6" x14ac:dyDescent="0.35">
      <c r="A694" s="13" t="s">
        <v>752</v>
      </c>
      <c r="B694">
        <v>30</v>
      </c>
      <c r="C694" t="s">
        <v>903</v>
      </c>
      <c r="E694" s="4">
        <f>SUM($F$9:G693)+0.1</f>
        <v>1073.0999999999999</v>
      </c>
      <c r="F694" s="4"/>
    </row>
    <row r="695" spans="1:6" x14ac:dyDescent="0.35">
      <c r="A695" s="1" t="s">
        <v>637</v>
      </c>
      <c r="B695">
        <v>60</v>
      </c>
      <c r="E695" s="4">
        <f>SUM($F$9:G694)+0.1</f>
        <v>1073.0999999999999</v>
      </c>
      <c r="F695" s="4"/>
    </row>
    <row r="696" spans="1:6" x14ac:dyDescent="0.35">
      <c r="A696" s="1" t="s">
        <v>1916</v>
      </c>
      <c r="E696" s="4">
        <f>SUM($F$9:G695)+0.1</f>
        <v>1073.0999999999999</v>
      </c>
      <c r="F696" s="4">
        <v>5</v>
      </c>
    </row>
    <row r="697" spans="1:6" x14ac:dyDescent="0.35">
      <c r="A697" s="1" t="s">
        <v>364</v>
      </c>
      <c r="B697">
        <v>60</v>
      </c>
      <c r="E697" s="4">
        <f>SUM($F$9:G696)+0.1</f>
        <v>1078.0999999999999</v>
      </c>
      <c r="F697" s="4">
        <v>10</v>
      </c>
    </row>
    <row r="698" spans="1:6" x14ac:dyDescent="0.35">
      <c r="A698" s="1" t="s">
        <v>365</v>
      </c>
      <c r="B698">
        <v>60</v>
      </c>
      <c r="E698" s="4">
        <f>SUM($F$9:G697)+0.1</f>
        <v>1088.0999999999999</v>
      </c>
      <c r="F698" s="4"/>
    </row>
    <row r="699" spans="1:6" x14ac:dyDescent="0.35">
      <c r="A699" s="1" t="s">
        <v>420</v>
      </c>
      <c r="B699">
        <v>60</v>
      </c>
      <c r="E699" s="4">
        <f>SUM($F$9:G698)+0.1</f>
        <v>1088.0999999999999</v>
      </c>
      <c r="F699" s="4"/>
    </row>
    <row r="700" spans="1:6" x14ac:dyDescent="0.35">
      <c r="A700" s="1" t="s">
        <v>870</v>
      </c>
      <c r="B700">
        <v>30</v>
      </c>
      <c r="E700" s="4">
        <f>SUM($F$9:G699)+0.1</f>
        <v>1088.0999999999999</v>
      </c>
      <c r="F700" s="4"/>
    </row>
    <row r="701" spans="1:6" x14ac:dyDescent="0.35">
      <c r="A701" s="1" t="s">
        <v>203</v>
      </c>
      <c r="B701">
        <v>60</v>
      </c>
      <c r="E701" s="4">
        <f>SUM($F$9:G700)+0.1</f>
        <v>1088.0999999999999</v>
      </c>
      <c r="F701" s="4"/>
    </row>
    <row r="702" spans="1:6" x14ac:dyDescent="0.35">
      <c r="A702" s="1" t="s">
        <v>540</v>
      </c>
      <c r="B702">
        <v>60</v>
      </c>
      <c r="E702" s="4">
        <f>SUM($F$9:G701)+0.1</f>
        <v>1088.0999999999999</v>
      </c>
      <c r="F702" s="4"/>
    </row>
    <row r="703" spans="1:6" x14ac:dyDescent="0.35">
      <c r="A703" s="1" t="s">
        <v>108</v>
      </c>
      <c r="B703">
        <v>30</v>
      </c>
      <c r="E703" s="4">
        <f>SUM($F$9:G702)+0.1</f>
        <v>1088.0999999999999</v>
      </c>
      <c r="F703" s="4"/>
    </row>
    <row r="704" spans="1:6" x14ac:dyDescent="0.35">
      <c r="A704" s="1" t="s">
        <v>753</v>
      </c>
      <c r="B704">
        <v>30</v>
      </c>
      <c r="E704" s="4">
        <f>SUM($F$9:G703)+0.1</f>
        <v>1088.0999999999999</v>
      </c>
      <c r="F704" s="4">
        <v>50</v>
      </c>
    </row>
    <row r="705" spans="1:7" x14ac:dyDescent="0.35">
      <c r="A705" s="1" t="s">
        <v>421</v>
      </c>
      <c r="B705">
        <v>60</v>
      </c>
      <c r="C705" t="s">
        <v>900</v>
      </c>
      <c r="E705" s="4">
        <f>SUM($F$9:G704)+0.1</f>
        <v>1138.0999999999999</v>
      </c>
      <c r="F705" s="4"/>
    </row>
    <row r="706" spans="1:7" x14ac:dyDescent="0.35">
      <c r="A706" s="1" t="s">
        <v>366</v>
      </c>
      <c r="B706">
        <v>60</v>
      </c>
      <c r="E706" s="4">
        <f>SUM($F$9:G705)+0.1</f>
        <v>1138.0999999999999</v>
      </c>
      <c r="F706" s="4">
        <v>5</v>
      </c>
      <c r="G706">
        <v>250</v>
      </c>
    </row>
    <row r="707" spans="1:7" x14ac:dyDescent="0.35">
      <c r="A707" s="1" t="s">
        <v>109</v>
      </c>
      <c r="B707">
        <v>30</v>
      </c>
      <c r="E707" s="4">
        <f>SUM($F$9:G706)+0.1</f>
        <v>1393.1</v>
      </c>
      <c r="F707" s="4">
        <v>8</v>
      </c>
      <c r="G707">
        <v>250</v>
      </c>
    </row>
    <row r="708" spans="1:7" x14ac:dyDescent="0.35">
      <c r="A708" s="1" t="s">
        <v>110</v>
      </c>
      <c r="B708">
        <v>60</v>
      </c>
      <c r="E708" s="4">
        <f>SUM($F$9:G707)+0.1</f>
        <v>1651.1</v>
      </c>
      <c r="F708" s="4"/>
    </row>
    <row r="709" spans="1:7" x14ac:dyDescent="0.35">
      <c r="A709" s="1" t="s">
        <v>195</v>
      </c>
      <c r="B709">
        <v>60</v>
      </c>
      <c r="E709" s="4">
        <f>SUM($F$9:G708)+0.1</f>
        <v>1651.1</v>
      </c>
      <c r="F709" s="4"/>
    </row>
    <row r="710" spans="1:7" x14ac:dyDescent="0.35">
      <c r="A710" s="1" t="s">
        <v>715</v>
      </c>
      <c r="B710">
        <v>30</v>
      </c>
      <c r="C710" t="s">
        <v>903</v>
      </c>
      <c r="E710" s="4">
        <f>SUM($F$9:G709)+0.1</f>
        <v>1651.1</v>
      </c>
      <c r="F710" s="4"/>
    </row>
    <row r="711" spans="1:7" x14ac:dyDescent="0.35">
      <c r="A711" s="1" t="s">
        <v>1905</v>
      </c>
      <c r="E711" s="4">
        <f>SUM($F$9:G710)+0.1</f>
        <v>1651.1</v>
      </c>
      <c r="F711" s="4"/>
    </row>
    <row r="712" spans="1:7" x14ac:dyDescent="0.35">
      <c r="A712" s="1" t="s">
        <v>217</v>
      </c>
      <c r="B712">
        <v>60</v>
      </c>
      <c r="E712" s="4">
        <f>SUM($F$9:G711)+0.1</f>
        <v>1651.1</v>
      </c>
      <c r="F712" s="4"/>
    </row>
    <row r="713" spans="1:7" x14ac:dyDescent="0.35">
      <c r="A713" s="1" t="s">
        <v>1831</v>
      </c>
      <c r="E713" s="4">
        <f>SUM($F$9:G712)+0.1</f>
        <v>1651.1</v>
      </c>
      <c r="F713" s="4"/>
    </row>
    <row r="714" spans="1:7" x14ac:dyDescent="0.35">
      <c r="A714" s="1" t="s">
        <v>861</v>
      </c>
      <c r="B714">
        <v>30</v>
      </c>
      <c r="E714" s="4">
        <f>SUM($F$9:G713)+0.1</f>
        <v>1651.1</v>
      </c>
      <c r="F714" s="4"/>
    </row>
    <row r="715" spans="1:7" x14ac:dyDescent="0.35">
      <c r="A715" s="1" t="s">
        <v>367</v>
      </c>
      <c r="B715">
        <v>60</v>
      </c>
      <c r="E715" s="4">
        <f>SUM($F$9:G714)+0.1</f>
        <v>1651.1</v>
      </c>
      <c r="F715" s="4"/>
    </row>
    <row r="716" spans="1:7" x14ac:dyDescent="0.35">
      <c r="A716" s="1" t="s">
        <v>541</v>
      </c>
      <c r="B716">
        <v>30</v>
      </c>
      <c r="E716" s="4">
        <f>SUM($F$9:G715)+0.1</f>
        <v>1651.1</v>
      </c>
      <c r="F716" s="4"/>
    </row>
    <row r="717" spans="1:7" x14ac:dyDescent="0.35">
      <c r="A717" s="1" t="s">
        <v>368</v>
      </c>
      <c r="B717">
        <v>60</v>
      </c>
      <c r="C717" t="s">
        <v>901</v>
      </c>
      <c r="E717" s="4">
        <f>SUM($F$9:G716)+0.1</f>
        <v>1651.1</v>
      </c>
      <c r="F717" s="4"/>
    </row>
    <row r="718" spans="1:7" x14ac:dyDescent="0.35">
      <c r="A718" s="1" t="s">
        <v>542</v>
      </c>
      <c r="B718">
        <v>60</v>
      </c>
      <c r="E718" s="4">
        <f>SUM($F$9:G717)+0.1</f>
        <v>1651.1</v>
      </c>
      <c r="F718" s="4"/>
    </row>
    <row r="719" spans="1:7" x14ac:dyDescent="0.35">
      <c r="A719" s="1" t="s">
        <v>422</v>
      </c>
      <c r="B719">
        <v>60</v>
      </c>
      <c r="E719" s="4">
        <f>SUM($F$9:G718)+0.1</f>
        <v>1651.1</v>
      </c>
      <c r="F719" s="4"/>
    </row>
    <row r="720" spans="1:7" x14ac:dyDescent="0.35">
      <c r="A720" s="1" t="s">
        <v>369</v>
      </c>
      <c r="B720">
        <v>30</v>
      </c>
      <c r="E720" s="4">
        <f>SUM($F$9:G719)+0.1</f>
        <v>1651.1</v>
      </c>
      <c r="F720" s="4"/>
    </row>
    <row r="721" spans="1:7" x14ac:dyDescent="0.35">
      <c r="A721" s="1" t="s">
        <v>218</v>
      </c>
      <c r="B721">
        <v>60</v>
      </c>
      <c r="C721" t="s">
        <v>901</v>
      </c>
      <c r="E721" s="4">
        <f>SUM($F$9:G720)+0.1</f>
        <v>1651.1</v>
      </c>
      <c r="F721" s="4"/>
    </row>
    <row r="722" spans="1:7" x14ac:dyDescent="0.35">
      <c r="A722" s="1" t="s">
        <v>1841</v>
      </c>
      <c r="E722" s="4">
        <f>SUM($F$9:G721)+0.1</f>
        <v>1651.1</v>
      </c>
      <c r="F722" s="4"/>
    </row>
    <row r="723" spans="1:7" x14ac:dyDescent="0.35">
      <c r="A723" s="1" t="s">
        <v>111</v>
      </c>
      <c r="B723">
        <v>30</v>
      </c>
      <c r="E723" s="4">
        <f>SUM($F$9:G722)+0.1</f>
        <v>1651.1</v>
      </c>
      <c r="F723" s="4">
        <v>75</v>
      </c>
      <c r="G723">
        <v>250</v>
      </c>
    </row>
    <row r="724" spans="1:7" x14ac:dyDescent="0.35">
      <c r="A724" s="1" t="s">
        <v>817</v>
      </c>
      <c r="B724">
        <v>30</v>
      </c>
      <c r="E724" s="4">
        <f>SUM($F$9:G723)+0.1</f>
        <v>1976.1</v>
      </c>
      <c r="F724" s="4"/>
    </row>
    <row r="725" spans="1:7" x14ac:dyDescent="0.35">
      <c r="A725" s="1" t="s">
        <v>112</v>
      </c>
      <c r="B725">
        <v>30</v>
      </c>
      <c r="E725" s="4">
        <f>SUM($F$9:G724)+0.1</f>
        <v>1976.1</v>
      </c>
      <c r="F725" s="4"/>
    </row>
    <row r="726" spans="1:7" x14ac:dyDescent="0.35">
      <c r="A726" s="1" t="s">
        <v>881</v>
      </c>
      <c r="B726">
        <v>60</v>
      </c>
      <c r="E726" s="4">
        <f>SUM($F$9:G725)+0.1</f>
        <v>1976.1</v>
      </c>
      <c r="F726" s="4"/>
    </row>
    <row r="727" spans="1:7" x14ac:dyDescent="0.35">
      <c r="A727" s="1" t="s">
        <v>818</v>
      </c>
      <c r="B727">
        <v>60</v>
      </c>
      <c r="E727" s="4">
        <f>SUM($F$9:G726)+0.1</f>
        <v>1976.1</v>
      </c>
      <c r="F727" s="4"/>
    </row>
    <row r="728" spans="1:7" x14ac:dyDescent="0.35">
      <c r="A728" s="1" t="s">
        <v>716</v>
      </c>
      <c r="B728">
        <v>30</v>
      </c>
      <c r="E728" s="4">
        <f>SUM($F$9:G727)+0.1</f>
        <v>1976.1</v>
      </c>
      <c r="F728" s="4"/>
    </row>
    <row r="729" spans="1:7" x14ac:dyDescent="0.35">
      <c r="A729" s="1" t="s">
        <v>113</v>
      </c>
      <c r="B729">
        <v>60</v>
      </c>
      <c r="C729" t="s">
        <v>900</v>
      </c>
      <c r="E729" s="4">
        <f>SUM($F$9:G728)+0.1</f>
        <v>1976.1</v>
      </c>
      <c r="F729" s="4"/>
    </row>
    <row r="730" spans="1:7" x14ac:dyDescent="0.35">
      <c r="A730" s="1" t="s">
        <v>423</v>
      </c>
      <c r="B730">
        <v>60</v>
      </c>
      <c r="C730" t="s">
        <v>900</v>
      </c>
      <c r="E730" s="4">
        <f>SUM($F$9:G729)+0.1</f>
        <v>1976.1</v>
      </c>
      <c r="F730" s="4"/>
    </row>
    <row r="731" spans="1:7" x14ac:dyDescent="0.35">
      <c r="A731" s="1" t="s">
        <v>543</v>
      </c>
      <c r="B731">
        <v>60</v>
      </c>
      <c r="C731" t="s">
        <v>900</v>
      </c>
      <c r="E731" s="4">
        <f>SUM($F$9:G730)+0.1</f>
        <v>1976.1</v>
      </c>
      <c r="F731" s="4"/>
    </row>
    <row r="732" spans="1:7" x14ac:dyDescent="0.35">
      <c r="A732" s="1" t="s">
        <v>544</v>
      </c>
      <c r="B732">
        <v>60</v>
      </c>
      <c r="C732" t="s">
        <v>900</v>
      </c>
      <c r="E732" s="4">
        <f>SUM($F$9:G731)+0.1</f>
        <v>1976.1</v>
      </c>
      <c r="F732" s="4"/>
    </row>
    <row r="733" spans="1:7" x14ac:dyDescent="0.35">
      <c r="A733" s="1" t="s">
        <v>545</v>
      </c>
      <c r="B733">
        <v>60</v>
      </c>
      <c r="C733" t="s">
        <v>900</v>
      </c>
      <c r="E733" s="4">
        <f>SUM($F$9:G732)+0.1</f>
        <v>1976.1</v>
      </c>
      <c r="F733" s="4"/>
    </row>
    <row r="734" spans="1:7" x14ac:dyDescent="0.35">
      <c r="A734" s="1" t="s">
        <v>819</v>
      </c>
      <c r="B734">
        <v>60</v>
      </c>
      <c r="E734" s="4">
        <f>SUM($F$9:G733)+0.1</f>
        <v>1976.1</v>
      </c>
      <c r="F734" s="4"/>
    </row>
    <row r="735" spans="1:7" x14ac:dyDescent="0.35">
      <c r="A735" s="1" t="s">
        <v>371</v>
      </c>
      <c r="B735">
        <v>60</v>
      </c>
      <c r="E735" s="4">
        <f>SUM($F$9:G734)+0.1</f>
        <v>1976.1</v>
      </c>
      <c r="F735" s="4"/>
    </row>
    <row r="736" spans="1:7" x14ac:dyDescent="0.35">
      <c r="A736" s="1" t="s">
        <v>372</v>
      </c>
      <c r="B736">
        <v>30</v>
      </c>
      <c r="C736" t="s">
        <v>900</v>
      </c>
      <c r="E736" s="4">
        <f>SUM($F$9:G735)+0.1</f>
        <v>1976.1</v>
      </c>
      <c r="F736" s="4"/>
    </row>
    <row r="737" spans="1:6" x14ac:dyDescent="0.35">
      <c r="A737" s="1" t="s">
        <v>220</v>
      </c>
      <c r="B737">
        <v>60</v>
      </c>
      <c r="E737" s="4">
        <f>SUM($F$9:G736)+0.1</f>
        <v>1976.1</v>
      </c>
      <c r="F737" s="4">
        <v>1</v>
      </c>
    </row>
    <row r="738" spans="1:6" x14ac:dyDescent="0.35">
      <c r="A738" s="1" t="s">
        <v>178</v>
      </c>
      <c r="B738">
        <v>60</v>
      </c>
      <c r="E738" s="4">
        <f>SUM($F$9:G737)+0.1</f>
        <v>1977.1</v>
      </c>
      <c r="F738" s="4"/>
    </row>
    <row r="739" spans="1:6" x14ac:dyDescent="0.35">
      <c r="A739" s="1" t="s">
        <v>424</v>
      </c>
      <c r="B739">
        <v>60</v>
      </c>
      <c r="C739" t="s">
        <v>901</v>
      </c>
      <c r="E739" s="4">
        <f>SUM($F$9:G738)+0.1</f>
        <v>1977.1</v>
      </c>
      <c r="F739" s="4"/>
    </row>
    <row r="740" spans="1:6" x14ac:dyDescent="0.35">
      <c r="A740" s="1" t="s">
        <v>820</v>
      </c>
      <c r="B740">
        <v>30</v>
      </c>
      <c r="E740" s="4">
        <f>SUM($F$9:G739)+0.1</f>
        <v>1977.1</v>
      </c>
      <c r="F740" s="4"/>
    </row>
    <row r="741" spans="1:6" x14ac:dyDescent="0.35">
      <c r="A741" s="1" t="s">
        <v>373</v>
      </c>
      <c r="B741">
        <v>60</v>
      </c>
      <c r="C741" t="s">
        <v>901</v>
      </c>
      <c r="E741" s="4">
        <f>SUM($F$9:G740)+0.1</f>
        <v>1977.1</v>
      </c>
      <c r="F741" s="4"/>
    </row>
    <row r="742" spans="1:6" x14ac:dyDescent="0.35">
      <c r="A742" s="1" t="s">
        <v>754</v>
      </c>
      <c r="B742">
        <v>60</v>
      </c>
      <c r="C742" t="s">
        <v>900</v>
      </c>
      <c r="E742" s="4">
        <f>SUM($F$9:G741)+0.1</f>
        <v>1977.1</v>
      </c>
      <c r="F742" s="4"/>
    </row>
    <row r="743" spans="1:6" x14ac:dyDescent="0.35">
      <c r="A743" s="1" t="s">
        <v>182</v>
      </c>
      <c r="B743">
        <v>60</v>
      </c>
      <c r="E743" s="4">
        <f>SUM($F$9:G742)+0.1</f>
        <v>1977.1</v>
      </c>
      <c r="F743" s="4">
        <v>50</v>
      </c>
    </row>
    <row r="744" spans="1:6" x14ac:dyDescent="0.35">
      <c r="A744" s="1" t="s">
        <v>546</v>
      </c>
      <c r="B744">
        <v>30</v>
      </c>
      <c r="E744" s="4">
        <f>SUM($F$9:G743)+0.1</f>
        <v>2027.1</v>
      </c>
      <c r="F744" s="4">
        <v>1</v>
      </c>
    </row>
    <row r="745" spans="1:6" x14ac:dyDescent="0.35">
      <c r="A745" s="1" t="s">
        <v>374</v>
      </c>
      <c r="B745">
        <v>30</v>
      </c>
      <c r="E745" s="4">
        <f>SUM($F$9:G744)+0.1</f>
        <v>2028.1</v>
      </c>
      <c r="F745" s="4"/>
    </row>
    <row r="746" spans="1:6" x14ac:dyDescent="0.35">
      <c r="A746" s="1" t="s">
        <v>375</v>
      </c>
      <c r="B746">
        <v>60</v>
      </c>
      <c r="E746" s="4">
        <f>SUM($F$9:G745)+0.1</f>
        <v>2028.1</v>
      </c>
      <c r="F746" s="4"/>
    </row>
    <row r="747" spans="1:6" x14ac:dyDescent="0.35">
      <c r="A747" s="1" t="s">
        <v>755</v>
      </c>
      <c r="B747">
        <v>30</v>
      </c>
      <c r="E747" s="4">
        <f>SUM($F$9:G746)+0.1</f>
        <v>2028.1</v>
      </c>
      <c r="F747" s="4"/>
    </row>
    <row r="748" spans="1:6" x14ac:dyDescent="0.35">
      <c r="A748" s="1" t="s">
        <v>376</v>
      </c>
      <c r="B748">
        <v>60</v>
      </c>
      <c r="E748" s="4">
        <f>SUM($F$9:G747)+0.1</f>
        <v>2028.1</v>
      </c>
      <c r="F748" s="4"/>
    </row>
    <row r="749" spans="1:6" x14ac:dyDescent="0.35">
      <c r="A749" s="1" t="s">
        <v>821</v>
      </c>
      <c r="B749">
        <v>60</v>
      </c>
      <c r="E749" s="4">
        <f>SUM($F$9:G748)+0.1</f>
        <v>2028.1</v>
      </c>
      <c r="F749" s="4"/>
    </row>
    <row r="750" spans="1:6" x14ac:dyDescent="0.35">
      <c r="A750" s="1" t="s">
        <v>717</v>
      </c>
      <c r="B750">
        <v>60</v>
      </c>
      <c r="C750" t="s">
        <v>900</v>
      </c>
      <c r="E750" s="4">
        <f>SUM($F$9:G749)+0.1</f>
        <v>2028.1</v>
      </c>
      <c r="F750" s="4"/>
    </row>
    <row r="751" spans="1:6" x14ac:dyDescent="0.35">
      <c r="A751" s="1" t="s">
        <v>114</v>
      </c>
      <c r="B751">
        <v>60</v>
      </c>
      <c r="E751" s="4">
        <f>SUM($F$9:G750)+0.1</f>
        <v>2028.1</v>
      </c>
      <c r="F751" s="4"/>
    </row>
    <row r="752" spans="1:6" x14ac:dyDescent="0.35">
      <c r="A752" s="1" t="s">
        <v>115</v>
      </c>
      <c r="B752">
        <v>60</v>
      </c>
      <c r="E752" s="4">
        <f>SUM($F$9:G751)+0.1</f>
        <v>2028.1</v>
      </c>
      <c r="F752" s="4">
        <v>5</v>
      </c>
    </row>
    <row r="753" spans="1:6" x14ac:dyDescent="0.35">
      <c r="A753" s="1" t="s">
        <v>822</v>
      </c>
      <c r="B753">
        <v>60</v>
      </c>
      <c r="E753" s="4">
        <f>SUM($F$9:G752)+0.1</f>
        <v>2033.1</v>
      </c>
      <c r="F753" s="4">
        <v>1</v>
      </c>
    </row>
    <row r="754" spans="1:6" x14ac:dyDescent="0.35">
      <c r="A754" s="1" t="s">
        <v>185</v>
      </c>
      <c r="B754">
        <v>60</v>
      </c>
      <c r="E754" s="4">
        <f>SUM($F$9:G753)+0.1</f>
        <v>2034.1</v>
      </c>
      <c r="F754" s="4"/>
    </row>
    <row r="755" spans="1:6" x14ac:dyDescent="0.35">
      <c r="A755" s="1" t="s">
        <v>116</v>
      </c>
      <c r="B755">
        <v>60</v>
      </c>
      <c r="C755" t="s">
        <v>901</v>
      </c>
      <c r="E755" s="4">
        <f>SUM($F$9:G754)+0.1</f>
        <v>2034.1</v>
      </c>
      <c r="F755" s="4"/>
    </row>
    <row r="756" spans="1:6" x14ac:dyDescent="0.35">
      <c r="A756" s="1" t="s">
        <v>547</v>
      </c>
      <c r="B756">
        <v>30</v>
      </c>
      <c r="E756" s="4">
        <f>SUM($F$9:G755)+0.1</f>
        <v>2034.1</v>
      </c>
      <c r="F756" s="4"/>
    </row>
    <row r="757" spans="1:6" x14ac:dyDescent="0.35">
      <c r="A757" s="1" t="s">
        <v>837</v>
      </c>
      <c r="B757">
        <v>60</v>
      </c>
      <c r="C757">
        <v>1</v>
      </c>
      <c r="E757" s="4">
        <f>SUM($F$9:G756)+0.1</f>
        <v>2034.1</v>
      </c>
      <c r="F757" s="4"/>
    </row>
    <row r="758" spans="1:6" x14ac:dyDescent="0.35">
      <c r="A758" s="13" t="s">
        <v>823</v>
      </c>
      <c r="B758">
        <v>30</v>
      </c>
      <c r="E758" s="4">
        <f>SUM($F$9:G757)+0.1</f>
        <v>2034.1</v>
      </c>
      <c r="F758" s="4"/>
    </row>
    <row r="759" spans="1:6" x14ac:dyDescent="0.35">
      <c r="A759" s="1" t="s">
        <v>824</v>
      </c>
      <c r="B759">
        <v>60</v>
      </c>
      <c r="E759" s="4">
        <f>SUM($F$9:G758)+0.1</f>
        <v>2034.1</v>
      </c>
      <c r="F759" s="4"/>
    </row>
    <row r="760" spans="1:6" x14ac:dyDescent="0.35">
      <c r="A760" s="1" t="s">
        <v>548</v>
      </c>
      <c r="B760">
        <v>30</v>
      </c>
      <c r="E760" s="4">
        <f>SUM($F$9:G759)+0.1</f>
        <v>2034.1</v>
      </c>
      <c r="F760" s="4"/>
    </row>
    <row r="761" spans="1:6" x14ac:dyDescent="0.35">
      <c r="A761" s="1" t="s">
        <v>117</v>
      </c>
      <c r="B761">
        <v>60</v>
      </c>
      <c r="C761" t="s">
        <v>903</v>
      </c>
      <c r="E761" s="4">
        <f>SUM($F$9:G760)+0.1</f>
        <v>2034.1</v>
      </c>
      <c r="F761" s="4">
        <v>9</v>
      </c>
    </row>
    <row r="762" spans="1:6" x14ac:dyDescent="0.35">
      <c r="A762" s="1" t="s">
        <v>549</v>
      </c>
      <c r="B762">
        <v>60</v>
      </c>
      <c r="E762" s="4">
        <f>SUM($F$9:G761)+0.1</f>
        <v>2043.1</v>
      </c>
      <c r="F762" s="4"/>
    </row>
    <row r="763" spans="1:6" x14ac:dyDescent="0.35">
      <c r="A763" s="1" t="s">
        <v>118</v>
      </c>
      <c r="B763">
        <v>60</v>
      </c>
      <c r="E763" s="4">
        <f>SUM($F$9:G762)+0.1</f>
        <v>2043.1</v>
      </c>
      <c r="F763" s="4"/>
    </row>
    <row r="764" spans="1:6" x14ac:dyDescent="0.35">
      <c r="A764" s="1" t="s">
        <v>756</v>
      </c>
      <c r="B764">
        <v>60</v>
      </c>
      <c r="C764" t="s">
        <v>900</v>
      </c>
      <c r="E764" s="4">
        <f>SUM($F$9:G763)+0.1</f>
        <v>2043.1</v>
      </c>
      <c r="F764" s="4"/>
    </row>
    <row r="765" spans="1:6" x14ac:dyDescent="0.35">
      <c r="A765" s="1" t="s">
        <v>550</v>
      </c>
      <c r="B765">
        <v>60</v>
      </c>
      <c r="E765" s="4">
        <f>SUM($F$9:G764)+0.1</f>
        <v>2043.1</v>
      </c>
      <c r="F765" s="4"/>
    </row>
    <row r="766" spans="1:6" x14ac:dyDescent="0.35">
      <c r="A766" s="1" t="s">
        <v>825</v>
      </c>
      <c r="B766">
        <v>60</v>
      </c>
      <c r="E766" s="4">
        <f>SUM($F$9:G765)+0.1</f>
        <v>2043.1</v>
      </c>
      <c r="F766" s="4"/>
    </row>
    <row r="767" spans="1:6" x14ac:dyDescent="0.35">
      <c r="A767" s="1" t="s">
        <v>639</v>
      </c>
      <c r="B767">
        <v>60</v>
      </c>
      <c r="C767" t="s">
        <v>903</v>
      </c>
      <c r="E767" s="4">
        <f>SUM($F$9:G766)+0.1</f>
        <v>2043.1</v>
      </c>
      <c r="F767" s="4"/>
    </row>
    <row r="768" spans="1:6" x14ac:dyDescent="0.35">
      <c r="A768" s="1" t="s">
        <v>119</v>
      </c>
      <c r="B768">
        <v>60</v>
      </c>
      <c r="E768" s="4">
        <f>SUM($F$9:G767)+0.1</f>
        <v>2043.1</v>
      </c>
      <c r="F768" s="4">
        <v>1</v>
      </c>
    </row>
    <row r="769" spans="1:6" x14ac:dyDescent="0.35">
      <c r="A769" s="1" t="s">
        <v>862</v>
      </c>
      <c r="B769">
        <v>60</v>
      </c>
      <c r="E769" s="4">
        <f>SUM($F$9:G768)+0.1</f>
        <v>2044.1</v>
      </c>
      <c r="F769" s="4"/>
    </row>
    <row r="770" spans="1:6" x14ac:dyDescent="0.35">
      <c r="A770" s="1" t="s">
        <v>638</v>
      </c>
      <c r="B770">
        <v>60</v>
      </c>
      <c r="E770" s="4">
        <f>SUM($F$9:G769)+0.1</f>
        <v>2044.1</v>
      </c>
      <c r="F770" s="4"/>
    </row>
    <row r="771" spans="1:6" x14ac:dyDescent="0.35">
      <c r="A771" s="1" t="s">
        <v>551</v>
      </c>
      <c r="B771">
        <v>60</v>
      </c>
      <c r="E771" s="4">
        <f>SUM($F$9:G770)+0.1</f>
        <v>2044.1</v>
      </c>
      <c r="F771" s="4">
        <v>15</v>
      </c>
    </row>
    <row r="772" spans="1:6" x14ac:dyDescent="0.35">
      <c r="A772" s="1" t="s">
        <v>188</v>
      </c>
      <c r="B772">
        <v>60</v>
      </c>
      <c r="D772" t="s">
        <v>902</v>
      </c>
      <c r="E772" s="4">
        <f>SUM($F$9:G771)+0.1</f>
        <v>2059.1</v>
      </c>
      <c r="F772" s="4"/>
    </row>
    <row r="773" spans="1:6" x14ac:dyDescent="0.35">
      <c r="A773" s="1" t="s">
        <v>882</v>
      </c>
      <c r="B773">
        <v>60</v>
      </c>
      <c r="E773" s="4">
        <f>SUM($F$9:G772)+0.1</f>
        <v>2059.1</v>
      </c>
      <c r="F773" s="4"/>
    </row>
    <row r="774" spans="1:6" x14ac:dyDescent="0.35">
      <c r="A774" s="1" t="s">
        <v>120</v>
      </c>
      <c r="B774">
        <v>60</v>
      </c>
      <c r="E774" s="4">
        <f>SUM($F$9:G773)+0.1</f>
        <v>2059.1</v>
      </c>
      <c r="F774" s="4"/>
    </row>
    <row r="775" spans="1:6" x14ac:dyDescent="0.35">
      <c r="A775" s="1" t="s">
        <v>121</v>
      </c>
      <c r="B775">
        <v>60</v>
      </c>
      <c r="C775" t="s">
        <v>901</v>
      </c>
      <c r="E775" s="4">
        <f>SUM($F$9:G774)+0.1</f>
        <v>2059.1</v>
      </c>
      <c r="F775" s="4"/>
    </row>
    <row r="776" spans="1:6" x14ac:dyDescent="0.35">
      <c r="A776" s="1" t="s">
        <v>425</v>
      </c>
      <c r="B776">
        <v>60</v>
      </c>
      <c r="C776" t="s">
        <v>900</v>
      </c>
      <c r="E776" s="4">
        <f>SUM($F$9:G775)+0.1</f>
        <v>2059.1</v>
      </c>
      <c r="F776" s="4"/>
    </row>
    <row r="777" spans="1:6" x14ac:dyDescent="0.35">
      <c r="A777" s="1" t="s">
        <v>122</v>
      </c>
      <c r="B777">
        <v>60</v>
      </c>
      <c r="E777" s="4">
        <f>SUM($F$9:G776)+0.1</f>
        <v>2059.1</v>
      </c>
      <c r="F777" s="4">
        <v>20</v>
      </c>
    </row>
    <row r="778" spans="1:6" x14ac:dyDescent="0.35">
      <c r="A778" s="1" t="s">
        <v>718</v>
      </c>
      <c r="B778">
        <v>30</v>
      </c>
      <c r="E778" s="4">
        <f>SUM($F$9:G777)+0.1</f>
        <v>2079.1</v>
      </c>
      <c r="F778" s="4"/>
    </row>
    <row r="779" spans="1:6" x14ac:dyDescent="0.35">
      <c r="A779" s="1" t="s">
        <v>123</v>
      </c>
      <c r="B779">
        <v>60</v>
      </c>
      <c r="E779" s="4">
        <f>SUM($F$9:G778)+0.1</f>
        <v>2079.1</v>
      </c>
      <c r="F779" s="4">
        <v>1</v>
      </c>
    </row>
    <row r="780" spans="1:6" x14ac:dyDescent="0.35">
      <c r="A780" s="1" t="s">
        <v>377</v>
      </c>
      <c r="B780">
        <v>30</v>
      </c>
      <c r="E780" s="4">
        <f>SUM($F$9:G779)+0.1</f>
        <v>2080.1</v>
      </c>
      <c r="F780" s="4"/>
    </row>
    <row r="781" spans="1:6" x14ac:dyDescent="0.35">
      <c r="A781" s="1" t="s">
        <v>640</v>
      </c>
      <c r="B781">
        <v>30</v>
      </c>
      <c r="E781" s="4">
        <f>SUM($F$9:G780)+0.1</f>
        <v>2080.1</v>
      </c>
      <c r="F781" s="4"/>
    </row>
    <row r="782" spans="1:6" x14ac:dyDescent="0.35">
      <c r="A782" s="1" t="s">
        <v>124</v>
      </c>
      <c r="B782">
        <v>30</v>
      </c>
      <c r="E782" s="4">
        <f>SUM($F$9:G781)+0.1</f>
        <v>2080.1</v>
      </c>
      <c r="F782" s="4"/>
    </row>
    <row r="783" spans="1:6" x14ac:dyDescent="0.35">
      <c r="A783" s="1" t="s">
        <v>719</v>
      </c>
      <c r="B783">
        <v>60</v>
      </c>
      <c r="E783" s="4">
        <f>SUM($F$9:G782)+0.1</f>
        <v>2080.1</v>
      </c>
      <c r="F783" s="4"/>
    </row>
    <row r="784" spans="1:6" x14ac:dyDescent="0.35">
      <c r="A784" s="1" t="s">
        <v>378</v>
      </c>
      <c r="B784">
        <v>60</v>
      </c>
      <c r="C784" t="s">
        <v>903</v>
      </c>
      <c r="E784" s="4">
        <f>SUM($F$9:G783)+0.1</f>
        <v>2080.1</v>
      </c>
      <c r="F784" s="4"/>
    </row>
    <row r="785" spans="1:6" x14ac:dyDescent="0.35">
      <c r="A785" s="1" t="s">
        <v>552</v>
      </c>
      <c r="B785">
        <v>60</v>
      </c>
      <c r="E785" s="4">
        <f>SUM($F$9:G784)+0.1</f>
        <v>2080.1</v>
      </c>
      <c r="F785" s="4"/>
    </row>
    <row r="786" spans="1:6" x14ac:dyDescent="0.35">
      <c r="A786" s="1" t="s">
        <v>426</v>
      </c>
      <c r="B786">
        <v>60</v>
      </c>
      <c r="C786" t="s">
        <v>900</v>
      </c>
      <c r="E786" s="4">
        <f>SUM($F$9:G785)+0.1</f>
        <v>2080.1</v>
      </c>
      <c r="F786" s="4"/>
    </row>
    <row r="787" spans="1:6" x14ac:dyDescent="0.35">
      <c r="A787" s="1" t="s">
        <v>427</v>
      </c>
      <c r="B787">
        <v>60</v>
      </c>
      <c r="C787" t="s">
        <v>901</v>
      </c>
      <c r="E787" s="4">
        <f>SUM($F$9:G786)+0.1</f>
        <v>2080.1</v>
      </c>
      <c r="F787" s="4"/>
    </row>
    <row r="788" spans="1:6" x14ac:dyDescent="0.35">
      <c r="A788" s="1" t="s">
        <v>787</v>
      </c>
      <c r="B788">
        <v>60</v>
      </c>
      <c r="C788" t="s">
        <v>900</v>
      </c>
      <c r="E788" s="4">
        <f>SUM($F$9:G787)+0.1</f>
        <v>2080.1</v>
      </c>
      <c r="F788" s="4"/>
    </row>
    <row r="789" spans="1:6" x14ac:dyDescent="0.35">
      <c r="A789" s="1" t="s">
        <v>720</v>
      </c>
      <c r="E789" s="4">
        <f>SUM($F$9:G788)+0.1</f>
        <v>2080.1</v>
      </c>
      <c r="F789" s="4"/>
    </row>
    <row r="790" spans="1:6" x14ac:dyDescent="0.35">
      <c r="A790" s="1" t="s">
        <v>721</v>
      </c>
      <c r="B790">
        <v>30</v>
      </c>
      <c r="E790" s="4">
        <f>SUM($F$9:G789)+0.1</f>
        <v>2080.1</v>
      </c>
      <c r="F790" s="4"/>
    </row>
    <row r="791" spans="1:6" x14ac:dyDescent="0.35">
      <c r="A791" s="1" t="s">
        <v>379</v>
      </c>
      <c r="B791">
        <v>60</v>
      </c>
      <c r="C791" t="s">
        <v>901</v>
      </c>
      <c r="E791" s="4">
        <f>SUM($F$9:G790)+0.1</f>
        <v>2080.1</v>
      </c>
      <c r="F791" s="4"/>
    </row>
    <row r="792" spans="1:6" x14ac:dyDescent="0.35">
      <c r="A792" s="1" t="s">
        <v>553</v>
      </c>
      <c r="B792">
        <v>60</v>
      </c>
      <c r="E792" s="4">
        <f>SUM($F$9:G791)+0.1</f>
        <v>2080.1</v>
      </c>
      <c r="F792" s="4"/>
    </row>
    <row r="793" spans="1:6" x14ac:dyDescent="0.35">
      <c r="A793" s="1" t="s">
        <v>722</v>
      </c>
      <c r="B793">
        <v>60</v>
      </c>
      <c r="C793" t="s">
        <v>901</v>
      </c>
      <c r="E793" s="4">
        <f>SUM($F$9:G792)+0.1</f>
        <v>2080.1</v>
      </c>
      <c r="F793" s="4"/>
    </row>
    <row r="794" spans="1:6" x14ac:dyDescent="0.35">
      <c r="A794" s="1" t="s">
        <v>826</v>
      </c>
      <c r="B794">
        <v>60</v>
      </c>
      <c r="C794" t="s">
        <v>900</v>
      </c>
      <c r="E794" s="4">
        <f>SUM($F$9:G793)+0.1</f>
        <v>2080.1</v>
      </c>
      <c r="F794" s="4"/>
    </row>
    <row r="795" spans="1:6" x14ac:dyDescent="0.35">
      <c r="A795" s="1" t="s">
        <v>380</v>
      </c>
      <c r="B795">
        <v>30</v>
      </c>
      <c r="E795" s="4">
        <f>SUM($F$9:G794)+0.1</f>
        <v>2080.1</v>
      </c>
      <c r="F795" s="4"/>
    </row>
    <row r="796" spans="1:6" x14ac:dyDescent="0.35">
      <c r="A796" s="1" t="s">
        <v>572</v>
      </c>
      <c r="B796">
        <v>60</v>
      </c>
      <c r="E796" s="4">
        <f>SUM($F$9:G795)+0.1</f>
        <v>2080.1</v>
      </c>
      <c r="F796" s="4"/>
    </row>
    <row r="797" spans="1:6" x14ac:dyDescent="0.35">
      <c r="A797" s="1" t="s">
        <v>208</v>
      </c>
      <c r="B797">
        <v>60</v>
      </c>
      <c r="C797" t="s">
        <v>901</v>
      </c>
      <c r="E797" s="4">
        <f>SUM($F$9:G796)+0.1</f>
        <v>2080.1</v>
      </c>
      <c r="F797" s="4"/>
    </row>
    <row r="798" spans="1:6" x14ac:dyDescent="0.35">
      <c r="A798" s="1" t="s">
        <v>883</v>
      </c>
      <c r="B798">
        <v>30</v>
      </c>
      <c r="E798" s="4">
        <f>SUM($F$9:G797)+0.1</f>
        <v>2080.1</v>
      </c>
      <c r="F798" s="4"/>
    </row>
    <row r="799" spans="1:6" x14ac:dyDescent="0.35">
      <c r="A799" s="1" t="s">
        <v>125</v>
      </c>
      <c r="B799">
        <v>60</v>
      </c>
      <c r="E799" s="4">
        <f>SUM($F$9:G798)+0.1</f>
        <v>2080.1</v>
      </c>
      <c r="F799" s="4">
        <v>35</v>
      </c>
    </row>
    <row r="800" spans="1:6" x14ac:dyDescent="0.35">
      <c r="A800" s="1" t="s">
        <v>554</v>
      </c>
      <c r="B800">
        <v>30</v>
      </c>
      <c r="E800" s="4">
        <f>SUM($F$9:G799)+0.1</f>
        <v>2115.1</v>
      </c>
      <c r="F800" s="4"/>
    </row>
    <row r="801" spans="1:6" x14ac:dyDescent="0.35">
      <c r="A801" s="1" t="s">
        <v>126</v>
      </c>
      <c r="B801">
        <v>60</v>
      </c>
      <c r="E801" s="4">
        <f>SUM($F$9:G800)+0.1</f>
        <v>2115.1</v>
      </c>
      <c r="F801" s="4">
        <v>5</v>
      </c>
    </row>
    <row r="802" spans="1:6" x14ac:dyDescent="0.35">
      <c r="A802" s="1" t="s">
        <v>381</v>
      </c>
      <c r="B802">
        <v>60</v>
      </c>
      <c r="C802" t="s">
        <v>900</v>
      </c>
      <c r="E802" s="4">
        <f>SUM($F$9:G801)+0.1</f>
        <v>2120.1</v>
      </c>
      <c r="F802" s="4"/>
    </row>
    <row r="803" spans="1:6" x14ac:dyDescent="0.35">
      <c r="A803" s="1" t="s">
        <v>164</v>
      </c>
      <c r="B803">
        <v>30</v>
      </c>
      <c r="E803" s="4">
        <f>SUM($F$9:G802)+0.1</f>
        <v>2120.1</v>
      </c>
      <c r="F803" s="4"/>
    </row>
    <row r="804" spans="1:6" x14ac:dyDescent="0.35">
      <c r="A804" s="1" t="s">
        <v>159</v>
      </c>
      <c r="B804">
        <v>60</v>
      </c>
      <c r="E804" s="4">
        <f>SUM($F$9:G803)+0.1</f>
        <v>2120.1</v>
      </c>
      <c r="F804" s="4"/>
    </row>
    <row r="805" spans="1:6" x14ac:dyDescent="0.35">
      <c r="A805" s="1" t="s">
        <v>827</v>
      </c>
      <c r="B805">
        <v>60</v>
      </c>
      <c r="C805" t="s">
        <v>900</v>
      </c>
      <c r="E805" s="4">
        <f>SUM($F$9:G804)+0.1</f>
        <v>2120.1</v>
      </c>
      <c r="F805" s="4"/>
    </row>
    <row r="806" spans="1:6" x14ac:dyDescent="0.35">
      <c r="A806" s="1" t="s">
        <v>127</v>
      </c>
      <c r="E806" s="4">
        <f>SUM($F$9:G805)+0.1</f>
        <v>2120.1</v>
      </c>
      <c r="F806" s="4"/>
    </row>
    <row r="807" spans="1:6" x14ac:dyDescent="0.35">
      <c r="A807" s="1" t="s">
        <v>723</v>
      </c>
      <c r="E807" s="4">
        <f>SUM($F$9:G806)+0.1</f>
        <v>2120.1</v>
      </c>
      <c r="F807" s="4"/>
    </row>
    <row r="808" spans="1:6" x14ac:dyDescent="0.35">
      <c r="A808" s="1" t="s">
        <v>382</v>
      </c>
      <c r="B808">
        <v>60</v>
      </c>
      <c r="E808" s="4">
        <f>SUM($F$9:G807)+0.1</f>
        <v>2120.1</v>
      </c>
      <c r="F808" s="4">
        <v>1</v>
      </c>
    </row>
    <row r="809" spans="1:6" x14ac:dyDescent="0.35">
      <c r="A809" s="1" t="s">
        <v>128</v>
      </c>
      <c r="B809">
        <v>30</v>
      </c>
      <c r="E809" s="4">
        <f>SUM($F$9:G808)+0.1</f>
        <v>2121.1</v>
      </c>
      <c r="F809" s="4"/>
    </row>
    <row r="810" spans="1:6" x14ac:dyDescent="0.35">
      <c r="A810" s="1" t="s">
        <v>383</v>
      </c>
      <c r="B810">
        <v>60</v>
      </c>
      <c r="C810" t="s">
        <v>900</v>
      </c>
      <c r="E810" s="4">
        <f>SUM($F$9:G809)+0.1</f>
        <v>2121.1</v>
      </c>
      <c r="F810" s="4"/>
    </row>
    <row r="811" spans="1:6" x14ac:dyDescent="0.35">
      <c r="A811" s="1" t="s">
        <v>1843</v>
      </c>
      <c r="E811" s="4">
        <f>SUM($F$9:G810)+0.1</f>
        <v>2121.1</v>
      </c>
      <c r="F811" s="4"/>
    </row>
    <row r="812" spans="1:6" x14ac:dyDescent="0.35">
      <c r="A812" s="1" t="s">
        <v>757</v>
      </c>
      <c r="B812">
        <v>60</v>
      </c>
      <c r="C812" t="s">
        <v>901</v>
      </c>
      <c r="E812" s="4">
        <f>SUM($F$9:G811)+0.1</f>
        <v>2121.1</v>
      </c>
      <c r="F812" s="4"/>
    </row>
    <row r="813" spans="1:6" x14ac:dyDescent="0.35">
      <c r="A813" s="1" t="s">
        <v>129</v>
      </c>
      <c r="B813">
        <v>60</v>
      </c>
      <c r="E813" s="4">
        <f>SUM($F$9:G812)+0.1</f>
        <v>2121.1</v>
      </c>
      <c r="F813" s="4"/>
    </row>
    <row r="814" spans="1:6" x14ac:dyDescent="0.35">
      <c r="A814" s="1" t="s">
        <v>384</v>
      </c>
      <c r="B814">
        <v>30</v>
      </c>
      <c r="E814" s="4">
        <f>SUM($F$9:G813)+0.1</f>
        <v>2121.1</v>
      </c>
      <c r="F814" s="4"/>
    </row>
    <row r="815" spans="1:6" x14ac:dyDescent="0.35">
      <c r="A815" s="1" t="s">
        <v>170</v>
      </c>
      <c r="B815">
        <v>60</v>
      </c>
      <c r="C815" t="s">
        <v>900</v>
      </c>
      <c r="E815" s="4">
        <f>SUM($F$9:G814)+0.1</f>
        <v>2121.1</v>
      </c>
      <c r="F815" s="4"/>
    </row>
    <row r="816" spans="1:6" x14ac:dyDescent="0.35">
      <c r="A816" s="1" t="s">
        <v>1830</v>
      </c>
      <c r="E816" s="4">
        <f>SUM($F$9:G815)+0.1</f>
        <v>2121.1</v>
      </c>
      <c r="F816" s="4"/>
    </row>
    <row r="817" spans="1:6" x14ac:dyDescent="0.35">
      <c r="A817" s="1" t="s">
        <v>871</v>
      </c>
      <c r="B817">
        <v>60</v>
      </c>
      <c r="C817" t="s">
        <v>901</v>
      </c>
      <c r="E817" s="4">
        <f>SUM($F$9:G816)+0.1</f>
        <v>2121.1</v>
      </c>
      <c r="F817" s="4"/>
    </row>
    <row r="818" spans="1:6" x14ac:dyDescent="0.35">
      <c r="A818" s="1" t="s">
        <v>130</v>
      </c>
      <c r="B818">
        <v>30</v>
      </c>
      <c r="E818" s="4">
        <f>SUM($F$9:G817)+0.1</f>
        <v>2121.1</v>
      </c>
      <c r="F818" s="4">
        <v>1</v>
      </c>
    </row>
    <row r="819" spans="1:6" x14ac:dyDescent="0.35">
      <c r="A819" s="1" t="s">
        <v>863</v>
      </c>
      <c r="B819">
        <v>30</v>
      </c>
      <c r="D819" t="s">
        <v>902</v>
      </c>
      <c r="E819" s="4">
        <f>SUM($F$9:G818)+0.1</f>
        <v>2122.1</v>
      </c>
      <c r="F819" s="4"/>
    </row>
    <row r="820" spans="1:6" x14ac:dyDescent="0.35">
      <c r="A820" s="1" t="s">
        <v>641</v>
      </c>
      <c r="B820">
        <v>60</v>
      </c>
      <c r="E820" s="4">
        <f>SUM($F$9:G819)+0.1</f>
        <v>2122.1</v>
      </c>
      <c r="F820" s="4"/>
    </row>
    <row r="821" spans="1:6" x14ac:dyDescent="0.35">
      <c r="A821" s="1" t="s">
        <v>828</v>
      </c>
      <c r="B821">
        <v>60</v>
      </c>
      <c r="E821" s="4">
        <f>SUM($F$9:G820)+0.1</f>
        <v>2122.1</v>
      </c>
      <c r="F821" s="4"/>
    </row>
    <row r="822" spans="1:6" x14ac:dyDescent="0.35">
      <c r="A822" s="1" t="s">
        <v>724</v>
      </c>
      <c r="B822">
        <v>60</v>
      </c>
      <c r="C822" t="s">
        <v>900</v>
      </c>
      <c r="E822" s="4">
        <f>SUM($F$9:G821)+0.1</f>
        <v>2122.1</v>
      </c>
      <c r="F822" s="4"/>
    </row>
    <row r="823" spans="1:6" x14ac:dyDescent="0.35">
      <c r="A823" s="1" t="s">
        <v>205</v>
      </c>
      <c r="B823">
        <v>60</v>
      </c>
      <c r="E823" s="4">
        <f>SUM($F$9:G822)+0.1</f>
        <v>2122.1</v>
      </c>
      <c r="F823" s="4"/>
    </row>
    <row r="824" spans="1:6" x14ac:dyDescent="0.35">
      <c r="A824" s="1" t="s">
        <v>131</v>
      </c>
      <c r="B824">
        <v>60</v>
      </c>
      <c r="C824" t="s">
        <v>903</v>
      </c>
      <c r="E824" s="4">
        <f>SUM($F$9:G823)+0.1</f>
        <v>2122.1</v>
      </c>
      <c r="F824" s="4">
        <v>5</v>
      </c>
    </row>
    <row r="825" spans="1:6" x14ac:dyDescent="0.35">
      <c r="A825" s="1" t="s">
        <v>132</v>
      </c>
      <c r="B825">
        <v>30</v>
      </c>
      <c r="E825" s="4">
        <f>SUM($F$9:G824)+0.1</f>
        <v>2127.1</v>
      </c>
      <c r="F825" s="4"/>
    </row>
    <row r="826" spans="1:6" x14ac:dyDescent="0.35">
      <c r="A826" s="13" t="s">
        <v>385</v>
      </c>
      <c r="B826">
        <v>30</v>
      </c>
      <c r="D826" t="s">
        <v>917</v>
      </c>
      <c r="E826" s="4">
        <f>SUM($F$9:G825)+0.1</f>
        <v>2127.1</v>
      </c>
      <c r="F826" s="4"/>
    </row>
    <row r="827" spans="1:6" x14ac:dyDescent="0.35">
      <c r="A827" s="1" t="s">
        <v>725</v>
      </c>
      <c r="B827">
        <v>30</v>
      </c>
      <c r="C827" t="s">
        <v>903</v>
      </c>
      <c r="E827" s="4">
        <f>SUM($F$9:G826)+0.1</f>
        <v>2127.1</v>
      </c>
      <c r="F827" s="4"/>
    </row>
    <row r="828" spans="1:6" x14ac:dyDescent="0.35">
      <c r="A828" s="1" t="s">
        <v>201</v>
      </c>
      <c r="B828">
        <v>60</v>
      </c>
      <c r="E828" s="4">
        <f>SUM($F$9:G827)+0.1</f>
        <v>2127.1</v>
      </c>
      <c r="F828" s="4"/>
    </row>
    <row r="829" spans="1:6" x14ac:dyDescent="0.35">
      <c r="A829" s="1" t="s">
        <v>133</v>
      </c>
      <c r="B829">
        <v>30</v>
      </c>
      <c r="E829" s="4">
        <f>SUM($F$9:G828)+0.1</f>
        <v>2127.1</v>
      </c>
      <c r="F829" s="4"/>
    </row>
    <row r="830" spans="1:6" x14ac:dyDescent="0.35">
      <c r="A830" s="1" t="s">
        <v>134</v>
      </c>
      <c r="B830">
        <v>60</v>
      </c>
      <c r="C830" t="s">
        <v>901</v>
      </c>
      <c r="E830" s="4">
        <f>SUM($F$9:G829)+0.1</f>
        <v>2127.1</v>
      </c>
      <c r="F830" s="4"/>
    </row>
    <row r="831" spans="1:6" x14ac:dyDescent="0.35">
      <c r="A831" s="1" t="s">
        <v>655</v>
      </c>
      <c r="B831">
        <v>60</v>
      </c>
      <c r="C831" t="s">
        <v>901</v>
      </c>
      <c r="E831" s="4">
        <f>SUM($F$9:G830)+0.1</f>
        <v>2127.1</v>
      </c>
      <c r="F831" s="4"/>
    </row>
    <row r="832" spans="1:6" x14ac:dyDescent="0.35">
      <c r="A832" s="1" t="s">
        <v>135</v>
      </c>
      <c r="B832">
        <v>60</v>
      </c>
      <c r="E832" s="4">
        <f>SUM($F$9:G831)+0.1</f>
        <v>2127.1</v>
      </c>
      <c r="F832" s="4"/>
    </row>
    <row r="833" spans="1:6" x14ac:dyDescent="0.35">
      <c r="A833" s="1" t="s">
        <v>161</v>
      </c>
      <c r="B833">
        <v>60</v>
      </c>
      <c r="E833" s="4">
        <f>SUM($F$9:G832)+0.1</f>
        <v>2127.1</v>
      </c>
      <c r="F833" s="4"/>
    </row>
    <row r="834" spans="1:6" x14ac:dyDescent="0.35">
      <c r="A834" s="1" t="s">
        <v>656</v>
      </c>
      <c r="B834">
        <v>60</v>
      </c>
      <c r="C834">
        <v>1</v>
      </c>
      <c r="E834" s="4">
        <f>SUM($F$9:G833)+0.1</f>
        <v>2127.1</v>
      </c>
      <c r="F834" s="4"/>
    </row>
    <row r="835" spans="1:6" x14ac:dyDescent="0.35">
      <c r="A835" s="1" t="s">
        <v>649</v>
      </c>
      <c r="B835">
        <v>30</v>
      </c>
      <c r="E835" s="4">
        <f>SUM($F$9:G834)+0.1</f>
        <v>2127.1</v>
      </c>
      <c r="F835" s="4"/>
    </row>
    <row r="836" spans="1:6" x14ac:dyDescent="0.35">
      <c r="A836" s="1" t="s">
        <v>431</v>
      </c>
      <c r="B836">
        <v>60</v>
      </c>
      <c r="C836" t="s">
        <v>900</v>
      </c>
      <c r="E836" s="4">
        <f>SUM($F$9:G835)+0.1</f>
        <v>2127.1</v>
      </c>
      <c r="F836" s="4"/>
    </row>
    <row r="837" spans="1:6" x14ac:dyDescent="0.35">
      <c r="A837" s="1" t="s">
        <v>766</v>
      </c>
      <c r="B837">
        <v>30</v>
      </c>
      <c r="E837" s="4">
        <f>SUM($F$9:G836)+0.1</f>
        <v>2127.1</v>
      </c>
      <c r="F837" s="4"/>
    </row>
    <row r="838" spans="1:6" x14ac:dyDescent="0.35">
      <c r="A838" s="1" t="s">
        <v>163</v>
      </c>
      <c r="B838">
        <v>30</v>
      </c>
      <c r="E838" s="4">
        <f>SUM($F$9:G837)+0.1</f>
        <v>2127.1</v>
      </c>
      <c r="F838" s="4"/>
    </row>
    <row r="839" spans="1:6" x14ac:dyDescent="0.35">
      <c r="A839" s="1" t="s">
        <v>480</v>
      </c>
      <c r="B839">
        <v>30</v>
      </c>
      <c r="E839" s="4">
        <f>SUM($F$9:G838)+0.1</f>
        <v>2127.1</v>
      </c>
      <c r="F839" s="4"/>
    </row>
    <row r="840" spans="1:6" x14ac:dyDescent="0.35">
      <c r="A840" s="1" t="s">
        <v>136</v>
      </c>
      <c r="B840">
        <v>60</v>
      </c>
      <c r="E840" s="4">
        <f>SUM($F$9:G839)+0.1</f>
        <v>2127.1</v>
      </c>
      <c r="F840" s="4"/>
    </row>
    <row r="841" spans="1:6" x14ac:dyDescent="0.35">
      <c r="A841" s="1" t="s">
        <v>767</v>
      </c>
      <c r="B841">
        <v>60</v>
      </c>
      <c r="E841" s="4">
        <f>SUM($F$9:G840)+0.1</f>
        <v>2127.1</v>
      </c>
      <c r="F841" s="4"/>
    </row>
    <row r="842" spans="1:6" x14ac:dyDescent="0.35">
      <c r="A842" s="1" t="s">
        <v>137</v>
      </c>
      <c r="B842">
        <v>30</v>
      </c>
      <c r="E842" s="4">
        <f>SUM($F$9:G841)+0.1</f>
        <v>2127.1</v>
      </c>
      <c r="F842" s="4"/>
    </row>
    <row r="843" spans="1:6" x14ac:dyDescent="0.35">
      <c r="A843" s="1" t="s">
        <v>432</v>
      </c>
      <c r="B843">
        <v>60</v>
      </c>
      <c r="E843" s="4">
        <f>SUM($F$9:G842)+0.1</f>
        <v>2127.1</v>
      </c>
      <c r="F843" s="4"/>
    </row>
    <row r="844" spans="1:6" x14ac:dyDescent="0.35">
      <c r="A844" s="1" t="s">
        <v>768</v>
      </c>
      <c r="B844">
        <v>60</v>
      </c>
      <c r="E844" s="4">
        <f>SUM($F$9:G843)+0.1</f>
        <v>2127.1</v>
      </c>
      <c r="F844" s="4"/>
    </row>
    <row r="845" spans="1:6" x14ac:dyDescent="0.35">
      <c r="A845" s="1" t="s">
        <v>204</v>
      </c>
      <c r="B845">
        <v>60</v>
      </c>
      <c r="E845" s="4">
        <f>SUM($F$9:G844)+0.1</f>
        <v>2127.1</v>
      </c>
      <c r="F845" s="4"/>
    </row>
    <row r="846" spans="1:6" x14ac:dyDescent="0.35">
      <c r="A846" s="1" t="s">
        <v>892</v>
      </c>
      <c r="B846">
        <v>60</v>
      </c>
      <c r="E846" s="4">
        <f>SUM($F$9:G845)+0.1</f>
        <v>2127.1</v>
      </c>
      <c r="F846" s="4"/>
    </row>
    <row r="847" spans="1:6" x14ac:dyDescent="0.35">
      <c r="A847" s="1" t="s">
        <v>433</v>
      </c>
      <c r="B847">
        <v>30</v>
      </c>
      <c r="E847" s="4">
        <f>SUM($F$9:G846)+0.1</f>
        <v>2127.1</v>
      </c>
      <c r="F847" s="4"/>
    </row>
    <row r="848" spans="1:6" x14ac:dyDescent="0.35">
      <c r="A848" s="1" t="s">
        <v>657</v>
      </c>
      <c r="B848">
        <v>30</v>
      </c>
      <c r="E848" s="4">
        <f>SUM($F$9:G847)+0.1</f>
        <v>2127.1</v>
      </c>
      <c r="F848" s="4"/>
    </row>
    <row r="849" spans="1:6" x14ac:dyDescent="0.35">
      <c r="A849" s="1" t="s">
        <v>872</v>
      </c>
      <c r="B849">
        <v>60</v>
      </c>
      <c r="E849" s="4">
        <f>SUM($F$9:G848)+0.1</f>
        <v>2127.1</v>
      </c>
      <c r="F849" s="4"/>
    </row>
    <row r="850" spans="1:6" x14ac:dyDescent="0.35">
      <c r="A850" s="1" t="s">
        <v>434</v>
      </c>
      <c r="B850">
        <v>60</v>
      </c>
      <c r="E850" s="4">
        <f>SUM($F$9:G849)+0.1</f>
        <v>2127.1</v>
      </c>
      <c r="F850" s="4"/>
    </row>
    <row r="851" spans="1:6" x14ac:dyDescent="0.35">
      <c r="A851" s="1" t="s">
        <v>573</v>
      </c>
      <c r="B851">
        <v>60</v>
      </c>
      <c r="E851" s="4">
        <f>SUM($F$9:G850)+0.1</f>
        <v>2127.1</v>
      </c>
      <c r="F851" s="4"/>
    </row>
    <row r="852" spans="1:6" x14ac:dyDescent="0.35">
      <c r="A852" s="1" t="s">
        <v>770</v>
      </c>
      <c r="B852">
        <v>60</v>
      </c>
      <c r="E852" s="4">
        <f>SUM($F$9:G851)+0.1</f>
        <v>2127.1</v>
      </c>
      <c r="F852" s="4"/>
    </row>
    <row r="853" spans="1:6" x14ac:dyDescent="0.35">
      <c r="A853" s="1" t="s">
        <v>435</v>
      </c>
      <c r="B853">
        <v>60</v>
      </c>
      <c r="C853" t="s">
        <v>901</v>
      </c>
      <c r="E853" s="4">
        <f>SUM($F$9:G852)+0.1</f>
        <v>2127.1</v>
      </c>
      <c r="F853" s="4"/>
    </row>
    <row r="854" spans="1:6" x14ac:dyDescent="0.35">
      <c r="A854" s="1" t="s">
        <v>769</v>
      </c>
      <c r="B854">
        <v>60</v>
      </c>
      <c r="C854" t="s">
        <v>900</v>
      </c>
      <c r="E854" s="4">
        <f>SUM($F$9:G853)+0.1</f>
        <v>2127.1</v>
      </c>
      <c r="F854" s="4"/>
    </row>
    <row r="855" spans="1:6" x14ac:dyDescent="0.35">
      <c r="A855" s="1" t="s">
        <v>436</v>
      </c>
      <c r="B855">
        <v>30</v>
      </c>
      <c r="E855" s="4">
        <f>SUM($F$9:G854)+0.1</f>
        <v>2127.1</v>
      </c>
      <c r="F855" s="4"/>
    </row>
    <row r="856" spans="1:6" x14ac:dyDescent="0.35">
      <c r="A856" s="1" t="s">
        <v>167</v>
      </c>
      <c r="B856">
        <v>60</v>
      </c>
      <c r="E856" s="4">
        <f>SUM($F$9:G855)+0.1</f>
        <v>2127.1</v>
      </c>
      <c r="F856" s="4"/>
    </row>
    <row r="857" spans="1:6" x14ac:dyDescent="0.35">
      <c r="A857" s="1" t="s">
        <v>771</v>
      </c>
      <c r="B857">
        <v>60</v>
      </c>
      <c r="E857" s="4">
        <f>SUM($F$9:G856)+0.1</f>
        <v>2127.1</v>
      </c>
      <c r="F857" s="4"/>
    </row>
    <row r="858" spans="1:6" x14ac:dyDescent="0.35">
      <c r="A858" s="1" t="s">
        <v>138</v>
      </c>
      <c r="B858">
        <v>60</v>
      </c>
      <c r="C858" t="s">
        <v>903</v>
      </c>
      <c r="E858" s="4">
        <f>SUM($F$9:G857)+0.1</f>
        <v>2127.1</v>
      </c>
      <c r="F858" s="4">
        <v>10</v>
      </c>
    </row>
    <row r="859" spans="1:6" x14ac:dyDescent="0.35">
      <c r="A859" s="1" t="s">
        <v>574</v>
      </c>
      <c r="B859">
        <v>60</v>
      </c>
      <c r="C859">
        <v>1</v>
      </c>
      <c r="E859" s="4">
        <f>SUM($F$9:G858)+0.1</f>
        <v>2137.1</v>
      </c>
      <c r="F859" s="4"/>
    </row>
    <row r="860" spans="1:6" x14ac:dyDescent="0.35">
      <c r="A860" s="1" t="s">
        <v>839</v>
      </c>
      <c r="B860">
        <v>30</v>
      </c>
      <c r="E860" s="4">
        <f>SUM($F$9:G859)+0.1</f>
        <v>2137.1</v>
      </c>
      <c r="F860" s="4"/>
    </row>
    <row r="861" spans="1:6" x14ac:dyDescent="0.35">
      <c r="A861" s="1" t="s">
        <v>893</v>
      </c>
      <c r="B861">
        <v>60</v>
      </c>
      <c r="E861" s="4">
        <f>SUM($F$9:G860)+0.1</f>
        <v>2137.1</v>
      </c>
      <c r="F861" s="4"/>
    </row>
    <row r="862" spans="1:6" x14ac:dyDescent="0.35">
      <c r="A862" s="1" t="s">
        <v>437</v>
      </c>
      <c r="B862">
        <v>30</v>
      </c>
      <c r="C862">
        <v>1</v>
      </c>
      <c r="E862" s="4">
        <f>SUM($F$9:G861)+0.1</f>
        <v>2137.1</v>
      </c>
      <c r="F862" s="4"/>
    </row>
    <row r="863" spans="1:6" x14ac:dyDescent="0.35">
      <c r="A863" s="1" t="s">
        <v>139</v>
      </c>
      <c r="B863">
        <v>60</v>
      </c>
      <c r="E863" s="4">
        <f>SUM($F$9:G862)+0.1</f>
        <v>2137.1</v>
      </c>
      <c r="F863" s="4"/>
    </row>
    <row r="864" spans="1:6" x14ac:dyDescent="0.35">
      <c r="A864" s="1" t="s">
        <v>140</v>
      </c>
      <c r="B864">
        <v>60</v>
      </c>
      <c r="E864" s="4">
        <f>SUM($F$9:G863)+0.1</f>
        <v>2137.1</v>
      </c>
      <c r="F864" s="4"/>
    </row>
    <row r="865" spans="1:6" x14ac:dyDescent="0.35">
      <c r="A865" s="1" t="s">
        <v>438</v>
      </c>
      <c r="B865">
        <v>60</v>
      </c>
      <c r="E865" s="4">
        <f>SUM($F$9:G864)+0.1</f>
        <v>2137.1</v>
      </c>
      <c r="F865" s="4"/>
    </row>
    <row r="866" spans="1:6" x14ac:dyDescent="0.35">
      <c r="A866" s="1" t="s">
        <v>918</v>
      </c>
      <c r="B866">
        <v>60</v>
      </c>
      <c r="E866" s="4">
        <f>SUM($F$9:G865)+0.1</f>
        <v>2137.1</v>
      </c>
      <c r="F866" s="4"/>
    </row>
    <row r="867" spans="1:6" x14ac:dyDescent="0.35">
      <c r="A867" s="1" t="s">
        <v>439</v>
      </c>
      <c r="B867">
        <v>60</v>
      </c>
      <c r="E867" s="4">
        <f>SUM($F$9:G866)+0.1</f>
        <v>2137.1</v>
      </c>
      <c r="F867" s="4"/>
    </row>
    <row r="868" spans="1:6" x14ac:dyDescent="0.35">
      <c r="A868" s="1" t="s">
        <v>440</v>
      </c>
      <c r="B868">
        <v>60</v>
      </c>
      <c r="C868" t="s">
        <v>900</v>
      </c>
      <c r="E868" s="4">
        <f>SUM($F$9:G867)+0.1</f>
        <v>2137.1</v>
      </c>
      <c r="F868" s="4"/>
    </row>
    <row r="869" spans="1:6" x14ac:dyDescent="0.35">
      <c r="A869" s="1" t="s">
        <v>575</v>
      </c>
      <c r="B869">
        <v>60</v>
      </c>
      <c r="C869" t="s">
        <v>901</v>
      </c>
      <c r="E869" s="4">
        <f>SUM($F$9:G868)+0.1</f>
        <v>2137.1</v>
      </c>
      <c r="F869" s="4"/>
    </row>
    <row r="870" spans="1:6" x14ac:dyDescent="0.35">
      <c r="A870" s="1" t="s">
        <v>194</v>
      </c>
      <c r="B870">
        <v>60</v>
      </c>
      <c r="C870" t="s">
        <v>901</v>
      </c>
      <c r="E870" s="4">
        <f>SUM($F$9:G869)+0.1</f>
        <v>2137.1</v>
      </c>
      <c r="F870" s="4"/>
    </row>
    <row r="871" spans="1:6" x14ac:dyDescent="0.35">
      <c r="A871" s="1" t="s">
        <v>894</v>
      </c>
      <c r="B871">
        <v>60</v>
      </c>
      <c r="E871" s="4">
        <f>SUM($F$9:G870)+0.1</f>
        <v>2137.1</v>
      </c>
      <c r="F871" s="4"/>
    </row>
    <row r="872" spans="1:6" x14ac:dyDescent="0.35">
      <c r="A872" s="1" t="s">
        <v>658</v>
      </c>
      <c r="B872">
        <v>30</v>
      </c>
      <c r="E872" s="4">
        <f>SUM($F$9:G871)+0.1</f>
        <v>2137.1</v>
      </c>
      <c r="F872" s="4"/>
    </row>
    <row r="873" spans="1:6" x14ac:dyDescent="0.35">
      <c r="A873" s="1" t="s">
        <v>176</v>
      </c>
      <c r="B873">
        <v>30</v>
      </c>
      <c r="E873" s="4">
        <f>SUM($F$9:G872)+0.1</f>
        <v>2137.1</v>
      </c>
      <c r="F873" s="4"/>
    </row>
    <row r="874" spans="1:6" x14ac:dyDescent="0.35">
      <c r="A874" s="1" t="s">
        <v>758</v>
      </c>
      <c r="B874">
        <v>60</v>
      </c>
      <c r="E874" s="4">
        <f>SUM($F$9:G873)+0.1</f>
        <v>2137.1</v>
      </c>
      <c r="F874" s="4"/>
    </row>
    <row r="875" spans="1:6" x14ac:dyDescent="0.35">
      <c r="A875" s="1" t="s">
        <v>441</v>
      </c>
      <c r="B875">
        <v>60</v>
      </c>
      <c r="E875" s="4">
        <f>SUM($F$9:G874)+0.1</f>
        <v>2137.1</v>
      </c>
      <c r="F875" s="4"/>
    </row>
    <row r="876" spans="1:6" x14ac:dyDescent="0.35">
      <c r="A876" s="1" t="s">
        <v>442</v>
      </c>
      <c r="B876">
        <v>30</v>
      </c>
      <c r="C876" t="s">
        <v>903</v>
      </c>
      <c r="E876" s="4">
        <f>SUM($F$9:G875)+0.1</f>
        <v>2137.1</v>
      </c>
      <c r="F876" s="4"/>
    </row>
    <row r="877" spans="1:6" x14ac:dyDescent="0.35">
      <c r="A877" s="1" t="s">
        <v>141</v>
      </c>
      <c r="B877">
        <v>60</v>
      </c>
      <c r="E877" s="4">
        <f>SUM($F$9:G876)+0.1</f>
        <v>2137.1</v>
      </c>
      <c r="F877" s="4">
        <v>15</v>
      </c>
    </row>
    <row r="878" spans="1:6" x14ac:dyDescent="0.35">
      <c r="A878" s="1" t="s">
        <v>650</v>
      </c>
      <c r="B878">
        <v>60</v>
      </c>
      <c r="C878" t="s">
        <v>900</v>
      </c>
      <c r="E878" s="4">
        <f>SUM($F$9:G877)+0.1</f>
        <v>2152.1</v>
      </c>
      <c r="F878" s="4"/>
    </row>
    <row r="879" spans="1:6" x14ac:dyDescent="0.35">
      <c r="A879" s="1" t="s">
        <v>174</v>
      </c>
      <c r="B879">
        <v>60</v>
      </c>
      <c r="E879" s="4">
        <f>SUM($F$9:G878)+0.1</f>
        <v>2152.1</v>
      </c>
      <c r="F879" s="4">
        <v>10</v>
      </c>
    </row>
    <row r="880" spans="1:6" x14ac:dyDescent="0.35">
      <c r="A880" s="1" t="s">
        <v>175</v>
      </c>
      <c r="B880">
        <v>60</v>
      </c>
      <c r="D880" t="s">
        <v>174</v>
      </c>
      <c r="E880" s="4">
        <f>SUM($F$9:G879)+0.1</f>
        <v>2162.1</v>
      </c>
      <c r="F880" s="4"/>
    </row>
    <row r="881" spans="1:6" x14ac:dyDescent="0.35">
      <c r="A881" s="1" t="s">
        <v>443</v>
      </c>
      <c r="B881">
        <v>30</v>
      </c>
      <c r="D881" t="s">
        <v>704</v>
      </c>
      <c r="E881" s="4">
        <f>SUM($F$9:G880)+0.1</f>
        <v>2162.1</v>
      </c>
      <c r="F881" s="4"/>
    </row>
    <row r="882" spans="1:6" x14ac:dyDescent="0.35">
      <c r="A882" s="1" t="s">
        <v>142</v>
      </c>
      <c r="B882">
        <v>30</v>
      </c>
      <c r="E882" s="4">
        <f>SUM($F$9:G881)+0.1</f>
        <v>2162.1</v>
      </c>
      <c r="F882" s="4"/>
    </row>
    <row r="883" spans="1:6" x14ac:dyDescent="0.35">
      <c r="A883" s="1" t="s">
        <v>444</v>
      </c>
      <c r="B883">
        <v>60</v>
      </c>
      <c r="C883" t="s">
        <v>900</v>
      </c>
      <c r="E883" s="4">
        <f>SUM($F$9:G882)+0.1</f>
        <v>2162.1</v>
      </c>
      <c r="F883" s="4"/>
    </row>
    <row r="884" spans="1:6" x14ac:dyDescent="0.35">
      <c r="A884" s="1" t="s">
        <v>143</v>
      </c>
      <c r="B884">
        <v>60</v>
      </c>
      <c r="E884" s="4">
        <f>SUM($F$9:G883)+0.1</f>
        <v>2162.1</v>
      </c>
      <c r="F884" s="4"/>
    </row>
    <row r="885" spans="1:6" x14ac:dyDescent="0.35">
      <c r="A885" s="1" t="s">
        <v>772</v>
      </c>
      <c r="B885">
        <v>60</v>
      </c>
      <c r="E885" s="4">
        <f>SUM($F$9:G884)+0.1</f>
        <v>2162.1</v>
      </c>
      <c r="F885" s="4"/>
    </row>
    <row r="886" spans="1:6" x14ac:dyDescent="0.35">
      <c r="A886" s="1" t="s">
        <v>445</v>
      </c>
      <c r="B886">
        <v>60</v>
      </c>
      <c r="E886" s="4">
        <f>SUM($F$9:G885)+0.1</f>
        <v>2162.1</v>
      </c>
      <c r="F886" s="4"/>
    </row>
    <row r="887" spans="1:6" x14ac:dyDescent="0.35">
      <c r="A887" s="1" t="s">
        <v>428</v>
      </c>
      <c r="B887">
        <v>60</v>
      </c>
      <c r="E887" s="4">
        <f>SUM($F$9:G886)+0.1</f>
        <v>2162.1</v>
      </c>
      <c r="F887" s="4"/>
    </row>
    <row r="888" spans="1:6" x14ac:dyDescent="0.35">
      <c r="A888" s="1" t="s">
        <v>144</v>
      </c>
      <c r="B888">
        <v>60</v>
      </c>
      <c r="C888" t="s">
        <v>901</v>
      </c>
      <c r="E888" s="4">
        <f>SUM($F$9:G887)+0.1</f>
        <v>2162.1</v>
      </c>
      <c r="F888" s="4"/>
    </row>
    <row r="889" spans="1:6" x14ac:dyDescent="0.35">
      <c r="A889" s="1" t="s">
        <v>446</v>
      </c>
      <c r="B889">
        <v>60</v>
      </c>
      <c r="C889" t="s">
        <v>901</v>
      </c>
      <c r="E889" s="4">
        <f>SUM($F$9:G888)+0.1</f>
        <v>2162.1</v>
      </c>
      <c r="F889" s="4"/>
    </row>
    <row r="890" spans="1:6" x14ac:dyDescent="0.35">
      <c r="A890" s="1" t="s">
        <v>759</v>
      </c>
      <c r="B890">
        <v>60</v>
      </c>
      <c r="C890" t="s">
        <v>900</v>
      </c>
      <c r="E890" s="4">
        <f>SUM($F$9:G889)+0.1</f>
        <v>2162.1</v>
      </c>
      <c r="F890" s="4"/>
    </row>
    <row r="891" spans="1:6" x14ac:dyDescent="0.35">
      <c r="A891" s="1" t="s">
        <v>576</v>
      </c>
      <c r="B891">
        <v>60</v>
      </c>
      <c r="E891" s="4">
        <f>SUM($F$9:G890)+0.1</f>
        <v>2162.1</v>
      </c>
      <c r="F891" s="4"/>
    </row>
    <row r="892" spans="1:6" x14ac:dyDescent="0.35">
      <c r="A892" s="1" t="s">
        <v>210</v>
      </c>
      <c r="B892">
        <v>60</v>
      </c>
      <c r="C892" t="s">
        <v>901</v>
      </c>
      <c r="E892" s="4">
        <f>SUM($F$9:G891)+0.1</f>
        <v>2162.1</v>
      </c>
      <c r="F892" s="4"/>
    </row>
    <row r="893" spans="1:6" x14ac:dyDescent="0.35">
      <c r="A893" s="1" t="s">
        <v>840</v>
      </c>
      <c r="B893">
        <v>60</v>
      </c>
      <c r="C893" t="s">
        <v>901</v>
      </c>
      <c r="E893" s="4">
        <f>SUM($F$9:G892)+0.1</f>
        <v>2162.1</v>
      </c>
      <c r="F893" s="4"/>
    </row>
    <row r="894" spans="1:6" x14ac:dyDescent="0.35">
      <c r="A894" s="1" t="s">
        <v>447</v>
      </c>
      <c r="B894">
        <v>60</v>
      </c>
      <c r="E894" s="4">
        <f>SUM($F$9:G893)+0.1</f>
        <v>2162.1</v>
      </c>
      <c r="F894" s="4"/>
    </row>
    <row r="895" spans="1:6" x14ac:dyDescent="0.35">
      <c r="A895" s="1" t="s">
        <v>905</v>
      </c>
      <c r="B895">
        <v>30</v>
      </c>
      <c r="E895" s="4">
        <f>SUM($F$9:G894)+0.1</f>
        <v>2162.1</v>
      </c>
      <c r="F895" s="4">
        <v>5</v>
      </c>
    </row>
    <row r="896" spans="1:6" x14ac:dyDescent="0.35">
      <c r="A896" s="1" t="s">
        <v>577</v>
      </c>
      <c r="B896">
        <v>60</v>
      </c>
      <c r="C896" t="s">
        <v>901</v>
      </c>
      <c r="E896" s="4">
        <f>SUM($F$9:G895)+0.1</f>
        <v>2167.1</v>
      </c>
      <c r="F896" s="4"/>
    </row>
    <row r="897" spans="1:6" x14ac:dyDescent="0.35">
      <c r="A897" s="1" t="s">
        <v>578</v>
      </c>
      <c r="B897">
        <v>30</v>
      </c>
      <c r="E897" s="4">
        <f>SUM($F$9:G896)+0.1</f>
        <v>2167.1</v>
      </c>
      <c r="F897" s="4"/>
    </row>
    <row r="898" spans="1:6" x14ac:dyDescent="0.35">
      <c r="A898" s="1" t="s">
        <v>773</v>
      </c>
      <c r="B898">
        <v>30</v>
      </c>
      <c r="E898" s="4">
        <f>SUM($F$9:G897)+0.1</f>
        <v>2167.1</v>
      </c>
      <c r="F898" s="4"/>
    </row>
    <row r="899" spans="1:6" x14ac:dyDescent="0.35">
      <c r="A899" s="1" t="s">
        <v>760</v>
      </c>
      <c r="B899">
        <v>60</v>
      </c>
      <c r="E899" s="4">
        <f>SUM($F$9:G898)+0.1</f>
        <v>2167.1</v>
      </c>
      <c r="F899" s="4">
        <v>5</v>
      </c>
    </row>
    <row r="900" spans="1:6" x14ac:dyDescent="0.35">
      <c r="A900" s="1" t="s">
        <v>145</v>
      </c>
      <c r="B900">
        <v>60</v>
      </c>
      <c r="E900" s="4">
        <f>SUM($F$9:G899)+0.1</f>
        <v>2172.1</v>
      </c>
      <c r="F900" s="4">
        <v>15</v>
      </c>
    </row>
    <row r="901" spans="1:6" x14ac:dyDescent="0.35">
      <c r="A901" s="1" t="s">
        <v>448</v>
      </c>
      <c r="B901">
        <v>30</v>
      </c>
      <c r="D901" t="s">
        <v>902</v>
      </c>
      <c r="E901" s="4">
        <f>SUM($F$9:G900)+0.1</f>
        <v>2187.1</v>
      </c>
      <c r="F901" s="4"/>
    </row>
    <row r="902" spans="1:6" x14ac:dyDescent="0.35">
      <c r="A902" s="1" t="s">
        <v>449</v>
      </c>
      <c r="B902">
        <v>30</v>
      </c>
      <c r="D902" t="s">
        <v>902</v>
      </c>
      <c r="E902" s="4">
        <f>SUM($F$9:G901)+0.1</f>
        <v>2187.1</v>
      </c>
      <c r="F902" s="4"/>
    </row>
    <row r="903" spans="1:6" x14ac:dyDescent="0.35">
      <c r="A903" s="1" t="s">
        <v>450</v>
      </c>
      <c r="B903">
        <v>60</v>
      </c>
      <c r="C903" t="s">
        <v>901</v>
      </c>
      <c r="E903" s="4">
        <f>SUM($F$9:G902)+0.1</f>
        <v>2187.1</v>
      </c>
      <c r="F903" s="4"/>
    </row>
    <row r="904" spans="1:6" x14ac:dyDescent="0.35">
      <c r="A904" s="1" t="s">
        <v>146</v>
      </c>
      <c r="B904">
        <v>30</v>
      </c>
      <c r="E904" s="4">
        <f>SUM($F$9:G903)+0.1</f>
        <v>2187.1</v>
      </c>
      <c r="F904" s="4">
        <v>50</v>
      </c>
    </row>
    <row r="905" spans="1:6" x14ac:dyDescent="0.35">
      <c r="A905" s="1" t="s">
        <v>774</v>
      </c>
      <c r="B905">
        <v>60</v>
      </c>
      <c r="C905" t="s">
        <v>900</v>
      </c>
      <c r="E905" s="4">
        <f>SUM($F$9:G904)+0.1</f>
        <v>2237.1</v>
      </c>
      <c r="F905" s="4"/>
    </row>
    <row r="906" spans="1:6" x14ac:dyDescent="0.35">
      <c r="A906" s="1" t="s">
        <v>651</v>
      </c>
      <c r="B906">
        <v>60</v>
      </c>
      <c r="E906" s="4">
        <f>SUM($F$9:G905)+0.1</f>
        <v>2237.1</v>
      </c>
      <c r="F906" s="4"/>
    </row>
    <row r="907" spans="1:6" x14ac:dyDescent="0.35">
      <c r="A907" s="1" t="s">
        <v>451</v>
      </c>
      <c r="B907">
        <v>60</v>
      </c>
      <c r="C907" t="s">
        <v>901</v>
      </c>
      <c r="E907" s="4">
        <f>SUM($F$9:G906)+0.1</f>
        <v>2237.1</v>
      </c>
      <c r="F907" s="4"/>
    </row>
    <row r="908" spans="1:6" x14ac:dyDescent="0.35">
      <c r="A908" s="1" t="s">
        <v>219</v>
      </c>
      <c r="B908">
        <v>60</v>
      </c>
      <c r="E908" s="4">
        <f>SUM($F$9:G907)+0.1</f>
        <v>2237.1</v>
      </c>
      <c r="F908" s="4">
        <v>1</v>
      </c>
    </row>
    <row r="909" spans="1:6" x14ac:dyDescent="0.35">
      <c r="A909" s="1" t="s">
        <v>452</v>
      </c>
      <c r="B909">
        <v>30</v>
      </c>
      <c r="E909" s="4">
        <f>SUM($F$9:G908)+0.1</f>
        <v>2238.1</v>
      </c>
      <c r="F909" s="4"/>
    </row>
    <row r="910" spans="1:6" x14ac:dyDescent="0.35">
      <c r="A910" s="1" t="s">
        <v>775</v>
      </c>
      <c r="B910">
        <v>60</v>
      </c>
      <c r="C910" t="s">
        <v>901</v>
      </c>
      <c r="E910" s="4">
        <f>SUM($F$9:G909)+0.1</f>
        <v>2238.1</v>
      </c>
      <c r="F910" s="4"/>
    </row>
    <row r="911" spans="1:6" x14ac:dyDescent="0.35">
      <c r="A911" s="1" t="s">
        <v>453</v>
      </c>
      <c r="B911">
        <v>60</v>
      </c>
      <c r="C911">
        <v>1</v>
      </c>
      <c r="E911" s="4">
        <f>SUM($F$9:G910)+0.1</f>
        <v>2238.1</v>
      </c>
      <c r="F911" s="4"/>
    </row>
    <row r="912" spans="1:6" x14ac:dyDescent="0.35">
      <c r="A912" s="1" t="s">
        <v>761</v>
      </c>
      <c r="B912">
        <v>60</v>
      </c>
      <c r="E912" s="4">
        <f>SUM($F$9:G911)+0.1</f>
        <v>2238.1</v>
      </c>
      <c r="F912" s="4"/>
    </row>
    <row r="913" spans="1:7" x14ac:dyDescent="0.35">
      <c r="A913" s="1" t="s">
        <v>652</v>
      </c>
      <c r="B913">
        <v>60</v>
      </c>
      <c r="C913" t="s">
        <v>901</v>
      </c>
      <c r="D913" t="s">
        <v>919</v>
      </c>
      <c r="E913" s="4">
        <f>SUM($F$9:G912)+0.1</f>
        <v>2238.1</v>
      </c>
      <c r="F913" s="4"/>
    </row>
    <row r="914" spans="1:7" x14ac:dyDescent="0.35">
      <c r="A914" s="1" t="s">
        <v>653</v>
      </c>
      <c r="B914">
        <v>60</v>
      </c>
      <c r="C914" t="s">
        <v>901</v>
      </c>
      <c r="E914" s="4">
        <f>SUM($F$9:G913)+0.1</f>
        <v>2238.1</v>
      </c>
      <c r="F914" s="4"/>
    </row>
    <row r="915" spans="1:7" x14ac:dyDescent="0.35">
      <c r="A915" s="1" t="s">
        <v>454</v>
      </c>
      <c r="B915">
        <v>60</v>
      </c>
      <c r="C915" t="s">
        <v>901</v>
      </c>
      <c r="E915" s="4">
        <f>SUM($F$9:G914)+0.1</f>
        <v>2238.1</v>
      </c>
      <c r="F915" s="4"/>
    </row>
    <row r="916" spans="1:7" x14ac:dyDescent="0.35">
      <c r="A916" s="1" t="s">
        <v>455</v>
      </c>
      <c r="B916">
        <v>60</v>
      </c>
      <c r="C916" t="s">
        <v>900</v>
      </c>
      <c r="E916" s="4">
        <f>SUM($F$9:G915)+0.1</f>
        <v>2238.1</v>
      </c>
      <c r="F916" s="4"/>
    </row>
    <row r="917" spans="1:7" x14ac:dyDescent="0.35">
      <c r="A917" s="1" t="s">
        <v>147</v>
      </c>
      <c r="B917">
        <v>30</v>
      </c>
      <c r="C917" t="s">
        <v>903</v>
      </c>
      <c r="E917" s="4">
        <f>SUM($F$9:G916)+0.1</f>
        <v>2238.1</v>
      </c>
      <c r="F917" s="4"/>
    </row>
    <row r="918" spans="1:7" x14ac:dyDescent="0.35">
      <c r="A918" s="1" t="s">
        <v>895</v>
      </c>
      <c r="B918">
        <v>60</v>
      </c>
      <c r="E918" s="4">
        <f>SUM($F$9:G917)+0.1</f>
        <v>2238.1</v>
      </c>
      <c r="F918" s="4"/>
    </row>
    <row r="919" spans="1:7" x14ac:dyDescent="0.35">
      <c r="A919" s="1" t="s">
        <v>654</v>
      </c>
      <c r="B919">
        <v>60</v>
      </c>
      <c r="E919" s="4">
        <f>SUM($F$9:G918)+0.1</f>
        <v>2238.1</v>
      </c>
      <c r="F919" s="4"/>
    </row>
    <row r="920" spans="1:7" x14ac:dyDescent="0.35">
      <c r="A920" s="1" t="s">
        <v>579</v>
      </c>
      <c r="B920">
        <v>30</v>
      </c>
      <c r="E920" s="4">
        <f>SUM($F$9:G919)+0.1</f>
        <v>2238.1</v>
      </c>
      <c r="F920" s="4">
        <v>1</v>
      </c>
    </row>
    <row r="921" spans="1:7" x14ac:dyDescent="0.35">
      <c r="A921" s="1" t="s">
        <v>580</v>
      </c>
      <c r="B921">
        <v>30</v>
      </c>
      <c r="E921" s="4">
        <f>SUM($F$9:G920)+0.1</f>
        <v>2239.1</v>
      </c>
      <c r="F921" s="4"/>
    </row>
    <row r="922" spans="1:7" x14ac:dyDescent="0.35">
      <c r="A922" s="1" t="s">
        <v>581</v>
      </c>
      <c r="B922">
        <v>60</v>
      </c>
      <c r="E922" s="4">
        <f>SUM($F$9:G921)+0.1</f>
        <v>2239.1</v>
      </c>
      <c r="F922" s="4"/>
    </row>
    <row r="923" spans="1:7" x14ac:dyDescent="0.35">
      <c r="A923" s="1" t="s">
        <v>896</v>
      </c>
      <c r="B923">
        <v>30</v>
      </c>
      <c r="E923" s="4">
        <f>SUM($F$9:G922)+0.1</f>
        <v>2239.1</v>
      </c>
      <c r="F923" s="4"/>
    </row>
    <row r="924" spans="1:7" x14ac:dyDescent="0.35">
      <c r="A924" s="1" t="s">
        <v>148</v>
      </c>
      <c r="B924">
        <v>60</v>
      </c>
      <c r="E924" s="4">
        <f>SUM($F$9:G923)+0.1</f>
        <v>2239.1</v>
      </c>
      <c r="F924" s="4"/>
    </row>
    <row r="925" spans="1:7" x14ac:dyDescent="0.35">
      <c r="A925" s="1" t="s">
        <v>149</v>
      </c>
      <c r="B925">
        <v>60</v>
      </c>
      <c r="E925" s="4">
        <f>SUM($F$9:G924)+0.1</f>
        <v>2239.1</v>
      </c>
      <c r="F925" s="4">
        <v>58</v>
      </c>
    </row>
    <row r="926" spans="1:7" x14ac:dyDescent="0.35">
      <c r="A926" s="1" t="s">
        <v>429</v>
      </c>
      <c r="B926">
        <v>60</v>
      </c>
      <c r="E926" s="4">
        <f>SUM($F$9:G925)+0.1</f>
        <v>2297.1</v>
      </c>
      <c r="F926" s="4">
        <v>9</v>
      </c>
      <c r="G926">
        <v>400</v>
      </c>
    </row>
    <row r="927" spans="1:7" x14ac:dyDescent="0.35">
      <c r="A927" s="1" t="s">
        <v>1914</v>
      </c>
      <c r="E927" s="4">
        <f>SUM($F$9:G926)+0.1</f>
        <v>2706.1</v>
      </c>
      <c r="F927" s="4">
        <v>20</v>
      </c>
      <c r="G927">
        <v>100</v>
      </c>
    </row>
    <row r="928" spans="1:7" x14ac:dyDescent="0.35">
      <c r="A928" s="1" t="s">
        <v>430</v>
      </c>
      <c r="B928">
        <v>30</v>
      </c>
      <c r="C928" t="s">
        <v>901</v>
      </c>
      <c r="E928" s="4">
        <f>SUM($F$9:G927)+0.1</f>
        <v>2826.1</v>
      </c>
      <c r="F928" s="4"/>
    </row>
    <row r="929" spans="1:6" x14ac:dyDescent="0.35">
      <c r="A929" s="1" t="s">
        <v>891</v>
      </c>
      <c r="B929">
        <v>60</v>
      </c>
      <c r="C929">
        <v>1</v>
      </c>
      <c r="E929" s="4">
        <f>SUM($F$9:G928)+0.1</f>
        <v>2826.1</v>
      </c>
      <c r="F929" s="4"/>
    </row>
    <row r="930" spans="1:6" x14ac:dyDescent="0.35">
      <c r="A930" s="1" t="s">
        <v>150</v>
      </c>
      <c r="B930">
        <v>30</v>
      </c>
      <c r="E930" s="4">
        <f>SUM($F$9:G929)+0.1</f>
        <v>2826.1</v>
      </c>
      <c r="F930" s="4"/>
    </row>
    <row r="931" spans="1:6" x14ac:dyDescent="0.35">
      <c r="A931" s="1" t="s">
        <v>456</v>
      </c>
      <c r="B931">
        <v>30</v>
      </c>
      <c r="E931" s="4">
        <f>SUM($F$9:G930)+0.1</f>
        <v>2826.1</v>
      </c>
      <c r="F931" s="4"/>
    </row>
    <row r="932" spans="1:6" x14ac:dyDescent="0.35">
      <c r="A932" s="1" t="s">
        <v>457</v>
      </c>
      <c r="B932">
        <v>60</v>
      </c>
      <c r="C932" t="s">
        <v>901</v>
      </c>
      <c r="E932" s="4">
        <f>SUM($F$9:G931)+0.1</f>
        <v>2826.1</v>
      </c>
      <c r="F932" s="4"/>
    </row>
    <row r="933" spans="1:6" x14ac:dyDescent="0.35">
      <c r="A933" s="1" t="s">
        <v>458</v>
      </c>
      <c r="B933">
        <v>60</v>
      </c>
      <c r="E933" s="4">
        <f>SUM($F$9:G932)+0.1</f>
        <v>2826.1</v>
      </c>
      <c r="F933" s="4"/>
    </row>
    <row r="934" spans="1:6" x14ac:dyDescent="0.35">
      <c r="A934" s="1" t="s">
        <v>459</v>
      </c>
      <c r="B934">
        <v>60</v>
      </c>
      <c r="E934" s="4">
        <f>SUM($F$9:G933)+0.1</f>
        <v>2826.1</v>
      </c>
      <c r="F934" s="4"/>
    </row>
    <row r="935" spans="1:6" x14ac:dyDescent="0.35">
      <c r="A935" s="1" t="s">
        <v>151</v>
      </c>
      <c r="B935">
        <v>60</v>
      </c>
      <c r="E935" s="4">
        <f>SUM($F$9:G934)+0.1</f>
        <v>2826.1</v>
      </c>
      <c r="F935" s="4"/>
    </row>
    <row r="936" spans="1:6" x14ac:dyDescent="0.35">
      <c r="A936" s="1" t="s">
        <v>913</v>
      </c>
      <c r="B936">
        <v>60</v>
      </c>
      <c r="C936" t="s">
        <v>901</v>
      </c>
      <c r="E936" s="4">
        <f>SUM($F$9:G935)+0.1</f>
        <v>2826.1</v>
      </c>
      <c r="F936" s="4">
        <v>1</v>
      </c>
    </row>
    <row r="937" spans="1:6" x14ac:dyDescent="0.35">
      <c r="A937" s="1" t="s">
        <v>152</v>
      </c>
      <c r="B937">
        <v>60</v>
      </c>
      <c r="E937" s="4">
        <f>SUM($F$9:G936)+0.1</f>
        <v>2827.1</v>
      </c>
      <c r="F937" s="4">
        <v>80</v>
      </c>
    </row>
    <row r="938" spans="1:6" x14ac:dyDescent="0.35">
      <c r="A938" s="1" t="s">
        <v>153</v>
      </c>
      <c r="B938">
        <v>60</v>
      </c>
      <c r="E938" s="4">
        <f>SUM($F$9:G937)+0.1</f>
        <v>2907.1</v>
      </c>
      <c r="F938" s="4">
        <v>18</v>
      </c>
    </row>
    <row r="939" spans="1:6" x14ac:dyDescent="0.35">
      <c r="A939" s="1" t="s">
        <v>154</v>
      </c>
      <c r="B939">
        <v>30</v>
      </c>
      <c r="E939" s="4">
        <f>SUM($F$9:G938)+0.1</f>
        <v>2925.1</v>
      </c>
      <c r="F939" s="4"/>
    </row>
    <row r="940" spans="1:6" x14ac:dyDescent="0.35">
      <c r="A940" s="1" t="s">
        <v>460</v>
      </c>
      <c r="B940">
        <v>60</v>
      </c>
      <c r="E940" s="4">
        <f>SUM($F$9:G939)+0.1</f>
        <v>2925.1</v>
      </c>
      <c r="F940" s="4"/>
    </row>
    <row r="941" spans="1:6" x14ac:dyDescent="0.35">
      <c r="A941" s="1" t="s">
        <v>762</v>
      </c>
      <c r="B941">
        <v>60</v>
      </c>
      <c r="E941" s="4">
        <f>SUM($F$9:G940)+0.1</f>
        <v>2925.1</v>
      </c>
      <c r="F941" s="4"/>
    </row>
    <row r="942" spans="1:6" x14ac:dyDescent="0.35">
      <c r="A942" s="1" t="s">
        <v>155</v>
      </c>
      <c r="B942">
        <v>30</v>
      </c>
      <c r="E942" s="4">
        <f>SUM($F$9:G941)+0.1</f>
        <v>2925.1</v>
      </c>
      <c r="F942" s="4"/>
    </row>
    <row r="943" spans="1:6" x14ac:dyDescent="0.35">
      <c r="A943" s="1" t="s">
        <v>211</v>
      </c>
      <c r="B943">
        <v>60</v>
      </c>
      <c r="E943" s="4">
        <f>SUM($F$9:G942)+0.1</f>
        <v>2925.1</v>
      </c>
      <c r="F943" s="4"/>
    </row>
    <row r="944" spans="1:6" x14ac:dyDescent="0.35">
      <c r="A944" s="1" t="s">
        <v>1909</v>
      </c>
      <c r="E944" s="4">
        <f>SUM($F$9:G943)+0.1</f>
        <v>2925.1</v>
      </c>
      <c r="F944" s="4">
        <v>75</v>
      </c>
    </row>
    <row r="945" spans="1:6" x14ac:dyDescent="0.35">
      <c r="A945" s="1" t="s">
        <v>660</v>
      </c>
      <c r="B945">
        <v>30</v>
      </c>
      <c r="E945" s="4">
        <f>SUM($F$9:G944)+0.1</f>
        <v>3000.1</v>
      </c>
      <c r="F945" s="4"/>
    </row>
    <row r="946" spans="1:6" x14ac:dyDescent="0.35">
      <c r="A946" s="1" t="s">
        <v>763</v>
      </c>
      <c r="B946">
        <v>60</v>
      </c>
      <c r="C946" t="s">
        <v>900</v>
      </c>
      <c r="E946" s="4">
        <f>SUM($F$9:G945)+0.1</f>
        <v>3000.1</v>
      </c>
      <c r="F946" s="4"/>
    </row>
    <row r="947" spans="1:6" x14ac:dyDescent="0.35">
      <c r="A947" s="1" t="s">
        <v>659</v>
      </c>
      <c r="B947">
        <v>60</v>
      </c>
      <c r="C947" t="s">
        <v>901</v>
      </c>
      <c r="E947" s="4">
        <f>SUM($F$9:G946)+0.1</f>
        <v>3000.1</v>
      </c>
      <c r="F947" s="4"/>
    </row>
    <row r="948" spans="1:6" x14ac:dyDescent="0.35">
      <c r="A948" s="1" t="s">
        <v>764</v>
      </c>
      <c r="B948">
        <v>60</v>
      </c>
      <c r="C948" t="s">
        <v>900</v>
      </c>
      <c r="E948" s="4">
        <f>SUM($F$9:G947)+0.1</f>
        <v>3000.1</v>
      </c>
      <c r="F948" s="4"/>
    </row>
    <row r="949" spans="1:6" x14ac:dyDescent="0.35">
      <c r="A949" s="1" t="s">
        <v>765</v>
      </c>
      <c r="B949">
        <v>60</v>
      </c>
      <c r="C949" t="s">
        <v>900</v>
      </c>
      <c r="E949" s="4">
        <f>SUM($F$9:G948)+0.1</f>
        <v>3000.1</v>
      </c>
      <c r="F949" s="4"/>
    </row>
    <row r="950" spans="1:6" x14ac:dyDescent="0.35">
      <c r="A950" s="1" t="s">
        <v>1919</v>
      </c>
      <c r="E950" s="4">
        <f>SUM($F$9:G949)+0.1</f>
        <v>3000.1</v>
      </c>
      <c r="F950" s="4"/>
    </row>
    <row r="951" spans="1:6" x14ac:dyDescent="0.35">
      <c r="A951" s="1" t="s">
        <v>1920</v>
      </c>
      <c r="E951" s="4">
        <f>SUM($F$9:G950)+0.1</f>
        <v>3000.1</v>
      </c>
      <c r="F951" s="4"/>
    </row>
    <row r="952" spans="1:6" x14ac:dyDescent="0.35">
      <c r="A952" s="1" t="s">
        <v>1921</v>
      </c>
      <c r="E952" s="4">
        <f>SUM($F$9:G951)+0.1</f>
        <v>3000.1</v>
      </c>
      <c r="F952" s="4"/>
    </row>
    <row r="953" spans="1:6" x14ac:dyDescent="0.35">
      <c r="A953" s="1" t="s">
        <v>1922</v>
      </c>
      <c r="E953" s="4">
        <f>SUM($F$9:G952)+0.1</f>
        <v>3000.1</v>
      </c>
      <c r="F953" s="4"/>
    </row>
    <row r="954" spans="1:6" x14ac:dyDescent="0.35">
      <c r="A954" s="1" t="s">
        <v>1923</v>
      </c>
      <c r="E954" s="4">
        <f>SUM($F$9:G953)+0.1</f>
        <v>3000.1</v>
      </c>
      <c r="F954" s="4"/>
    </row>
    <row r="955" spans="1:6" x14ac:dyDescent="0.35">
      <c r="A955" s="1" t="s">
        <v>1924</v>
      </c>
      <c r="E955" s="4">
        <f>SUM($F$9:G954)+0.1</f>
        <v>3000.1</v>
      </c>
      <c r="F955" s="4"/>
    </row>
    <row r="956" spans="1:6" x14ac:dyDescent="0.35">
      <c r="A956" s="1" t="s">
        <v>1925</v>
      </c>
      <c r="E956" s="4">
        <f>SUM($F$9:G955)+0.1</f>
        <v>3000.1</v>
      </c>
      <c r="F956" s="4"/>
    </row>
    <row r="957" spans="1:6" x14ac:dyDescent="0.35">
      <c r="A957" s="1" t="s">
        <v>1926</v>
      </c>
      <c r="E957" s="4">
        <f>SUM($F$9:G956)+0.1</f>
        <v>3000.1</v>
      </c>
      <c r="F957" s="4"/>
    </row>
    <row r="958" spans="1:6" x14ac:dyDescent="0.35">
      <c r="A958" s="1" t="s">
        <v>1874</v>
      </c>
      <c r="E958" s="4">
        <f>SUM($F$9:G957)+0.1</f>
        <v>3000.1</v>
      </c>
      <c r="F958" s="4"/>
    </row>
    <row r="959" spans="1:6" x14ac:dyDescent="0.35">
      <c r="A959" s="1" t="s">
        <v>1927</v>
      </c>
      <c r="E959" s="4">
        <f>SUM($F$9:G958)+0.1</f>
        <v>3000.1</v>
      </c>
      <c r="F959" s="4"/>
    </row>
    <row r="960" spans="1:6" x14ac:dyDescent="0.35">
      <c r="A960" s="1" t="s">
        <v>1876</v>
      </c>
      <c r="E960" s="4">
        <f>SUM($F$9:G959)+0.1</f>
        <v>3000.1</v>
      </c>
      <c r="F960" s="4"/>
    </row>
    <row r="961" spans="1:6" x14ac:dyDescent="0.35">
      <c r="A961" s="1" t="s">
        <v>1928</v>
      </c>
      <c r="E961" s="4">
        <f>SUM($F$9:G960)+0.1</f>
        <v>3000.1</v>
      </c>
      <c r="F961" s="4"/>
    </row>
    <row r="962" spans="1:6" x14ac:dyDescent="0.35">
      <c r="A962" s="1" t="s">
        <v>1929</v>
      </c>
      <c r="E962" s="4">
        <f>SUM($F$9:G961)+0.1</f>
        <v>3000.1</v>
      </c>
      <c r="F962" s="4"/>
    </row>
    <row r="963" spans="1:6" x14ac:dyDescent="0.35">
      <c r="A963" s="1" t="s">
        <v>1930</v>
      </c>
      <c r="E963" s="4">
        <f>SUM($F$9:G962)+0.1</f>
        <v>3000.1</v>
      </c>
      <c r="F963" s="4"/>
    </row>
    <row r="964" spans="1:6" x14ac:dyDescent="0.35">
      <c r="A964" s="1" t="s">
        <v>1931</v>
      </c>
      <c r="E964" s="4">
        <f>SUM($F$9:G963)+0.1</f>
        <v>3000.1</v>
      </c>
      <c r="F964" s="4"/>
    </row>
    <row r="965" spans="1:6" x14ac:dyDescent="0.35">
      <c r="A965" s="1" t="s">
        <v>1932</v>
      </c>
      <c r="E965" s="4">
        <f>SUM($F$9:G964)+0.1</f>
        <v>3000.1</v>
      </c>
      <c r="F965" s="4"/>
    </row>
    <row r="966" spans="1:6" x14ac:dyDescent="0.35">
      <c r="A966" s="1" t="s">
        <v>1934</v>
      </c>
      <c r="E966" s="4">
        <f>SUM($F$9:G965)+0.1</f>
        <v>3000.1</v>
      </c>
      <c r="F966" s="4"/>
    </row>
    <row r="967" spans="1:6" x14ac:dyDescent="0.35">
      <c r="A967" s="1" t="s">
        <v>1935</v>
      </c>
      <c r="E967" s="4">
        <f>SUM($F$9:G966)+0.1</f>
        <v>3000.1</v>
      </c>
      <c r="F967" s="4"/>
    </row>
    <row r="968" spans="1:6" x14ac:dyDescent="0.35">
      <c r="A968" s="1" t="s">
        <v>1936</v>
      </c>
      <c r="E968" s="4">
        <f>SUM($F$9:G967)+0.1</f>
        <v>3000.1</v>
      </c>
      <c r="F968" s="4"/>
    </row>
    <row r="969" spans="1:6" x14ac:dyDescent="0.35">
      <c r="A969" s="1" t="s">
        <v>1937</v>
      </c>
      <c r="E969" s="4">
        <f>SUM($F$9:G968)+0.1</f>
        <v>3000.1</v>
      </c>
      <c r="F969" s="4"/>
    </row>
    <row r="970" spans="1:6" x14ac:dyDescent="0.35">
      <c r="A970" s="1" t="s">
        <v>1938</v>
      </c>
      <c r="E970" s="4">
        <f>SUM($F$9:G969)+0.1</f>
        <v>3000.1</v>
      </c>
      <c r="F970" s="4"/>
    </row>
    <row r="971" spans="1:6" x14ac:dyDescent="0.35">
      <c r="A971" s="1" t="s">
        <v>1939</v>
      </c>
      <c r="E971" s="4">
        <f>SUM($F$9:G970)+0.1</f>
        <v>3000.1</v>
      </c>
      <c r="F971" s="4"/>
    </row>
    <row r="972" spans="1:6" x14ac:dyDescent="0.35">
      <c r="A972" s="1" t="s">
        <v>1879</v>
      </c>
      <c r="E972" s="4">
        <f>SUM($F$9:G971)+0.1</f>
        <v>3000.1</v>
      </c>
      <c r="F972" s="4"/>
    </row>
    <row r="973" spans="1:6" x14ac:dyDescent="0.35">
      <c r="A973" s="1" t="s">
        <v>1940</v>
      </c>
      <c r="E973" s="4">
        <f>SUM($F$9:G972)+0.1</f>
        <v>3000.1</v>
      </c>
      <c r="F973" s="4"/>
    </row>
    <row r="974" spans="1:6" x14ac:dyDescent="0.35">
      <c r="A974" s="1" t="s">
        <v>1942</v>
      </c>
      <c r="E974" s="4">
        <f>SUM($F$9:G973)+0.1</f>
        <v>3000.1</v>
      </c>
      <c r="F974" s="4"/>
    </row>
  </sheetData>
  <conditionalFormatting sqref="A10:A974">
    <cfRule type="duplicateValues" dxfId="2" priority="2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Refresh">
                <anchor moveWithCells="1">
                  <from>
                    <xdr:col>3</xdr:col>
                    <xdr:colOff>133350</xdr:colOff>
                    <xdr:row>0</xdr:row>
                    <xdr:rowOff>152400</xdr:rowOff>
                  </from>
                  <to>
                    <xdr:col>3</xdr:col>
                    <xdr:colOff>679450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A2AE-AD9B-45CA-B2B8-D656ED0B140D}">
  <sheetPr codeName="Sheet6"/>
  <dimension ref="A1:K926"/>
  <sheetViews>
    <sheetView topLeftCell="A712" workbookViewId="0">
      <selection activeCell="A734" sqref="A734"/>
    </sheetView>
  </sheetViews>
  <sheetFormatPr defaultRowHeight="14.5" x14ac:dyDescent="0.35"/>
  <cols>
    <col min="1" max="1" width="66.1796875" style="1" bestFit="1" customWidth="1"/>
    <col min="4" max="4" width="11.54296875" customWidth="1"/>
    <col min="10" max="10" width="74.81640625" bestFit="1" customWidth="1"/>
    <col min="11" max="11" width="41.26953125" bestFit="1" customWidth="1"/>
  </cols>
  <sheetData>
    <row r="1" spans="1:11" x14ac:dyDescent="0.35">
      <c r="A1" s="1" t="s">
        <v>923</v>
      </c>
      <c r="B1">
        <f>SUM(Table13[[Scotty]:[Shelby]])</f>
        <v>1500</v>
      </c>
    </row>
    <row r="2" spans="1:11" x14ac:dyDescent="0.35">
      <c r="A2" s="1" t="s">
        <v>924</v>
      </c>
      <c r="B2">
        <f ca="1">RANDBETWEEN(1,B1)</f>
        <v>491</v>
      </c>
    </row>
    <row r="3" spans="1:11" x14ac:dyDescent="0.35">
      <c r="A3" s="1" t="s">
        <v>925</v>
      </c>
      <c r="B3">
        <f ca="1">MATCH(B2,Table13[Total],1)</f>
        <v>540</v>
      </c>
      <c r="J3" s="5" t="s">
        <v>49</v>
      </c>
      <c r="K3" s="5" t="s">
        <v>50</v>
      </c>
    </row>
    <row r="4" spans="1:11" x14ac:dyDescent="0.35">
      <c r="J4" s="7" t="s">
        <v>1009</v>
      </c>
      <c r="K4" s="6" t="s">
        <v>930</v>
      </c>
    </row>
    <row r="5" spans="1:11" x14ac:dyDescent="0.35">
      <c r="J5" s="7" t="s">
        <v>1010</v>
      </c>
      <c r="K5" s="6" t="s">
        <v>931</v>
      </c>
    </row>
    <row r="6" spans="1:11" x14ac:dyDescent="0.35">
      <c r="A6" s="1" t="s">
        <v>926</v>
      </c>
      <c r="B6" s="5" t="str">
        <f ca="1">IF(F8=G8,INDEX(Table13[Show],B3),"cheater")</f>
        <v>Shogun</v>
      </c>
      <c r="J6" s="7" t="s">
        <v>1011</v>
      </c>
      <c r="K6" s="6" t="s">
        <v>932</v>
      </c>
    </row>
    <row r="7" spans="1:11" x14ac:dyDescent="0.35">
      <c r="J7" s="7" t="s">
        <v>1012</v>
      </c>
      <c r="K7" s="6" t="s">
        <v>933</v>
      </c>
    </row>
    <row r="8" spans="1:11" x14ac:dyDescent="0.35">
      <c r="F8">
        <f>SUM(Table13[Scotty])</f>
        <v>750</v>
      </c>
      <c r="G8">
        <f>SUM(Table13[Shelby])</f>
        <v>750</v>
      </c>
      <c r="J8" s="7" t="s">
        <v>1013</v>
      </c>
      <c r="K8" s="6" t="s">
        <v>934</v>
      </c>
    </row>
    <row r="9" spans="1:11" x14ac:dyDescent="0.35">
      <c r="A9" s="1" t="s">
        <v>897</v>
      </c>
      <c r="B9" t="s">
        <v>898</v>
      </c>
      <c r="C9" t="s">
        <v>901</v>
      </c>
      <c r="D9" t="s">
        <v>899</v>
      </c>
      <c r="E9" t="s">
        <v>922</v>
      </c>
      <c r="F9" t="s">
        <v>927</v>
      </c>
      <c r="G9" t="s">
        <v>928</v>
      </c>
      <c r="J9" s="7" t="s">
        <v>1014</v>
      </c>
      <c r="K9" s="6" t="s">
        <v>935</v>
      </c>
    </row>
    <row r="10" spans="1:11" x14ac:dyDescent="0.35">
      <c r="A10" s="1">
        <v>24</v>
      </c>
      <c r="B10">
        <v>60</v>
      </c>
      <c r="E10" s="4">
        <f>SUM($F$9:G9)+0.1</f>
        <v>0.1</v>
      </c>
      <c r="J10" s="7" t="s">
        <v>1015</v>
      </c>
      <c r="K10" s="6" t="s">
        <v>936</v>
      </c>
    </row>
    <row r="11" spans="1:11" x14ac:dyDescent="0.35">
      <c r="A11" s="1">
        <v>1883</v>
      </c>
      <c r="B11">
        <v>60</v>
      </c>
      <c r="C11" t="s">
        <v>901</v>
      </c>
      <c r="D11" t="s">
        <v>153</v>
      </c>
      <c r="E11" s="4">
        <f>SUM($F$9:G10)+0.1</f>
        <v>0.1</v>
      </c>
      <c r="J11" s="7" t="s">
        <v>1016</v>
      </c>
      <c r="K11" s="7" t="s">
        <v>937</v>
      </c>
    </row>
    <row r="12" spans="1:11" x14ac:dyDescent="0.35">
      <c r="A12" s="1">
        <v>1899</v>
      </c>
      <c r="B12">
        <v>60</v>
      </c>
      <c r="C12">
        <v>1</v>
      </c>
      <c r="E12" s="4">
        <f>SUM($F$9:G11)+0.1</f>
        <v>0.1</v>
      </c>
      <c r="J12" s="7" t="s">
        <v>1017</v>
      </c>
      <c r="K12" s="6" t="s">
        <v>938</v>
      </c>
    </row>
    <row r="13" spans="1:11" x14ac:dyDescent="0.35">
      <c r="A13" s="1">
        <v>1923</v>
      </c>
      <c r="B13">
        <v>60</v>
      </c>
      <c r="C13">
        <v>1</v>
      </c>
      <c r="D13" t="s">
        <v>153</v>
      </c>
      <c r="E13" s="4">
        <f>SUM($F$9:G12)+0.1</f>
        <v>0.1</v>
      </c>
      <c r="J13" s="7" t="s">
        <v>1018</v>
      </c>
      <c r="K13" s="6" t="s">
        <v>939</v>
      </c>
    </row>
    <row r="14" spans="1:11" x14ac:dyDescent="0.35">
      <c r="A14" s="1" t="s">
        <v>370</v>
      </c>
      <c r="B14">
        <v>60</v>
      </c>
      <c r="C14" t="s">
        <v>901</v>
      </c>
      <c r="E14" s="4">
        <f>SUM($F$9:G13)+0.1</f>
        <v>0.1</v>
      </c>
      <c r="J14" s="7" t="s">
        <v>1019</v>
      </c>
      <c r="K14" s="6" t="s">
        <v>940</v>
      </c>
    </row>
    <row r="15" spans="1:11" x14ac:dyDescent="0.35">
      <c r="A15" s="1" t="s">
        <v>386</v>
      </c>
      <c r="B15">
        <v>60</v>
      </c>
      <c r="E15" s="4">
        <f>SUM($F$9:G14)+0.1</f>
        <v>0.1</v>
      </c>
      <c r="J15" s="7" t="s">
        <v>1020</v>
      </c>
      <c r="K15" s="7" t="s">
        <v>941</v>
      </c>
    </row>
    <row r="16" spans="1:11" x14ac:dyDescent="0.35">
      <c r="A16" s="1" t="s">
        <v>214</v>
      </c>
      <c r="B16">
        <v>60</v>
      </c>
      <c r="E16" s="4">
        <f>SUM($F$9:G15)+0.1</f>
        <v>0.1</v>
      </c>
      <c r="J16" s="7" t="s">
        <v>1021</v>
      </c>
      <c r="K16" s="7" t="s">
        <v>942</v>
      </c>
    </row>
    <row r="17" spans="1:11" x14ac:dyDescent="0.35">
      <c r="A17" s="1" t="s">
        <v>661</v>
      </c>
      <c r="B17">
        <v>60</v>
      </c>
      <c r="C17" t="s">
        <v>900</v>
      </c>
      <c r="E17" s="4">
        <f>SUM($F$9:G16)+0.1</f>
        <v>0.1</v>
      </c>
      <c r="J17" s="7" t="s">
        <v>1022</v>
      </c>
      <c r="K17" s="7" t="s">
        <v>943</v>
      </c>
    </row>
    <row r="18" spans="1:11" x14ac:dyDescent="0.35">
      <c r="A18" s="1" t="s">
        <v>790</v>
      </c>
      <c r="B18">
        <v>60</v>
      </c>
      <c r="C18" t="s">
        <v>900</v>
      </c>
      <c r="E18" s="4">
        <f>SUM($F$9:G17)+0.1</f>
        <v>0.1</v>
      </c>
      <c r="J18" s="7" t="s">
        <v>1023</v>
      </c>
      <c r="K18" s="6" t="s">
        <v>944</v>
      </c>
    </row>
    <row r="19" spans="1:11" x14ac:dyDescent="0.35">
      <c r="A19" s="1" t="s">
        <v>726</v>
      </c>
      <c r="B19">
        <v>60</v>
      </c>
      <c r="C19" t="s">
        <v>900</v>
      </c>
      <c r="E19" s="4">
        <f>SUM($F$9:G18)+0.1</f>
        <v>0.1</v>
      </c>
      <c r="J19" s="7" t="s">
        <v>1024</v>
      </c>
      <c r="K19" s="6" t="s">
        <v>945</v>
      </c>
    </row>
    <row r="20" spans="1:11" x14ac:dyDescent="0.35">
      <c r="A20" s="1" t="s">
        <v>727</v>
      </c>
      <c r="B20">
        <v>60</v>
      </c>
      <c r="C20" t="s">
        <v>900</v>
      </c>
      <c r="E20" s="4">
        <f>SUM($F$9:G19)+0.1</f>
        <v>0.1</v>
      </c>
      <c r="J20" s="7" t="s">
        <v>1025</v>
      </c>
      <c r="K20" s="7" t="s">
        <v>946</v>
      </c>
    </row>
    <row r="21" spans="1:11" x14ac:dyDescent="0.35">
      <c r="A21" s="1" t="s">
        <v>582</v>
      </c>
      <c r="B21">
        <v>60</v>
      </c>
      <c r="E21" s="4">
        <f>SUM($F$9:G20)+0.1</f>
        <v>0.1</v>
      </c>
      <c r="J21" s="7" t="s">
        <v>1026</v>
      </c>
      <c r="K21" s="7" t="s">
        <v>947</v>
      </c>
    </row>
    <row r="22" spans="1:11" x14ac:dyDescent="0.35">
      <c r="A22" s="1" t="s">
        <v>461</v>
      </c>
      <c r="B22">
        <v>60</v>
      </c>
      <c r="C22">
        <v>1</v>
      </c>
      <c r="D22">
        <v>24</v>
      </c>
      <c r="E22" s="4">
        <f>SUM($F$9:G21)+0.1</f>
        <v>0.1</v>
      </c>
      <c r="J22" s="7" t="s">
        <v>1027</v>
      </c>
      <c r="K22" s="7" t="s">
        <v>948</v>
      </c>
    </row>
    <row r="23" spans="1:11" x14ac:dyDescent="0.35">
      <c r="A23" s="1" t="s">
        <v>0</v>
      </c>
      <c r="B23">
        <v>60</v>
      </c>
      <c r="C23" t="s">
        <v>900</v>
      </c>
      <c r="E23" s="4">
        <f>SUM($F$9:G22)+0.1</f>
        <v>0.1</v>
      </c>
      <c r="J23" s="7" t="s">
        <v>1028</v>
      </c>
      <c r="K23" s="7" t="s">
        <v>949</v>
      </c>
    </row>
    <row r="24" spans="1:11" x14ac:dyDescent="0.35">
      <c r="A24" s="1" t="s">
        <v>916</v>
      </c>
      <c r="B24">
        <v>60</v>
      </c>
      <c r="C24" t="s">
        <v>901</v>
      </c>
      <c r="E24" s="4">
        <f>SUM($F$9:G23)+0.1</f>
        <v>0.1</v>
      </c>
      <c r="J24" s="7" t="s">
        <v>1029</v>
      </c>
      <c r="K24" s="6" t="s">
        <v>950</v>
      </c>
    </row>
    <row r="25" spans="1:11" x14ac:dyDescent="0.35">
      <c r="A25" s="2" t="s">
        <v>462</v>
      </c>
      <c r="B25">
        <v>60</v>
      </c>
      <c r="E25" s="4">
        <f>SUM($F$9:G24)+0.1</f>
        <v>0.1</v>
      </c>
      <c r="J25" s="7" t="s">
        <v>1030</v>
      </c>
      <c r="K25" s="7" t="s">
        <v>951</v>
      </c>
    </row>
    <row r="26" spans="1:11" x14ac:dyDescent="0.35">
      <c r="A26" s="2" t="s">
        <v>583</v>
      </c>
      <c r="B26">
        <v>60</v>
      </c>
      <c r="C26" t="s">
        <v>900</v>
      </c>
      <c r="E26" s="4">
        <f>SUM($F$9:G25)+0.1</f>
        <v>0.1</v>
      </c>
      <c r="J26" s="7" t="s">
        <v>1031</v>
      </c>
      <c r="K26" s="7" t="s">
        <v>952</v>
      </c>
    </row>
    <row r="27" spans="1:11" x14ac:dyDescent="0.35">
      <c r="A27" s="1" t="s">
        <v>463</v>
      </c>
      <c r="B27">
        <v>60</v>
      </c>
      <c r="C27" t="s">
        <v>901</v>
      </c>
      <c r="E27" s="4">
        <f>SUM($F$9:G26)+0.1</f>
        <v>0.1</v>
      </c>
      <c r="J27" s="7" t="s">
        <v>1032</v>
      </c>
      <c r="K27" s="6" t="s">
        <v>953</v>
      </c>
    </row>
    <row r="28" spans="1:11" x14ac:dyDescent="0.35">
      <c r="A28" s="1" t="s">
        <v>1827</v>
      </c>
      <c r="B28">
        <v>60</v>
      </c>
      <c r="E28" s="4">
        <f>SUM($F$9:G27)+0.1</f>
        <v>0.1</v>
      </c>
      <c r="J28" s="7" t="s">
        <v>1033</v>
      </c>
      <c r="K28" s="7" t="s">
        <v>954</v>
      </c>
    </row>
    <row r="29" spans="1:11" x14ac:dyDescent="0.35">
      <c r="A29" s="1" t="s">
        <v>841</v>
      </c>
      <c r="B29">
        <v>60</v>
      </c>
      <c r="C29" t="s">
        <v>901</v>
      </c>
      <c r="E29" s="4">
        <f>SUM($F$9:G28)+0.1</f>
        <v>0.1</v>
      </c>
      <c r="J29" s="7" t="s">
        <v>1034</v>
      </c>
      <c r="K29" s="6" t="s">
        <v>955</v>
      </c>
    </row>
    <row r="30" spans="1:11" x14ac:dyDescent="0.35">
      <c r="A30" s="1" t="s">
        <v>873</v>
      </c>
      <c r="B30">
        <v>60</v>
      </c>
      <c r="C30" t="s">
        <v>901</v>
      </c>
      <c r="E30" s="4">
        <f>SUM($F$9:G29)+0.1</f>
        <v>0.1</v>
      </c>
      <c r="F30">
        <v>5</v>
      </c>
      <c r="J30" s="7" t="s">
        <v>1035</v>
      </c>
      <c r="K30" s="6" t="s">
        <v>956</v>
      </c>
    </row>
    <row r="31" spans="1:11" x14ac:dyDescent="0.35">
      <c r="A31" s="1" t="s">
        <v>584</v>
      </c>
      <c r="B31">
        <v>60</v>
      </c>
      <c r="C31">
        <v>1</v>
      </c>
      <c r="D31" t="s">
        <v>902</v>
      </c>
      <c r="E31" s="4">
        <f>SUM($F$9:G30)+0.1</f>
        <v>5.0999999999999996</v>
      </c>
      <c r="J31" s="7" t="s">
        <v>1036</v>
      </c>
      <c r="K31" s="7" t="s">
        <v>957</v>
      </c>
    </row>
    <row r="32" spans="1:11" x14ac:dyDescent="0.35">
      <c r="A32" s="1" t="s">
        <v>466</v>
      </c>
      <c r="B32">
        <v>60</v>
      </c>
      <c r="C32" t="s">
        <v>901</v>
      </c>
      <c r="E32" s="4">
        <f>SUM($F$9:G31)+0.1</f>
        <v>5.0999999999999996</v>
      </c>
      <c r="F32">
        <v>1</v>
      </c>
      <c r="J32" s="7" t="s">
        <v>1037</v>
      </c>
      <c r="K32" t="s">
        <v>958</v>
      </c>
    </row>
    <row r="33" spans="1:11" x14ac:dyDescent="0.35">
      <c r="A33" s="1" t="s">
        <v>589</v>
      </c>
      <c r="B33">
        <v>60</v>
      </c>
      <c r="C33" t="s">
        <v>901</v>
      </c>
      <c r="E33" s="4">
        <f>SUM($F$9:G32)+0.1</f>
        <v>6.1</v>
      </c>
      <c r="J33" s="7" t="s">
        <v>1038</v>
      </c>
      <c r="K33" s="6" t="s">
        <v>959</v>
      </c>
    </row>
    <row r="34" spans="1:11" x14ac:dyDescent="0.35">
      <c r="A34" s="1" t="s">
        <v>590</v>
      </c>
      <c r="B34">
        <v>60</v>
      </c>
      <c r="C34" t="s">
        <v>901</v>
      </c>
      <c r="E34" s="4">
        <f>SUM($F$9:G33)+0.1</f>
        <v>6.1</v>
      </c>
      <c r="J34" s="7" t="s">
        <v>1039</v>
      </c>
      <c r="K34" t="s">
        <v>960</v>
      </c>
    </row>
    <row r="35" spans="1:11" x14ac:dyDescent="0.35">
      <c r="A35" s="1" t="s">
        <v>1828</v>
      </c>
      <c r="B35">
        <v>60</v>
      </c>
      <c r="C35" t="s">
        <v>901</v>
      </c>
      <c r="E35" s="4">
        <f>SUM($F$9:G34)+0.1</f>
        <v>6.1</v>
      </c>
      <c r="J35" s="7" t="s">
        <v>1040</v>
      </c>
      <c r="K35" t="s">
        <v>961</v>
      </c>
    </row>
    <row r="36" spans="1:11" x14ac:dyDescent="0.35">
      <c r="A36" s="1" t="s">
        <v>1846</v>
      </c>
      <c r="E36" s="4">
        <f>SUM($F$9:G35)+0.1</f>
        <v>6.1</v>
      </c>
      <c r="J36" s="7" t="s">
        <v>1041</v>
      </c>
      <c r="K36" s="7" t="s">
        <v>962</v>
      </c>
    </row>
    <row r="37" spans="1:11" x14ac:dyDescent="0.35">
      <c r="A37" s="1" t="s">
        <v>776</v>
      </c>
      <c r="B37">
        <v>60</v>
      </c>
      <c r="E37" s="4">
        <f>SUM($F$9:G36)+0.1</f>
        <v>6.1</v>
      </c>
      <c r="J37" s="7" t="s">
        <v>1042</v>
      </c>
      <c r="K37" s="6" t="s">
        <v>963</v>
      </c>
    </row>
    <row r="38" spans="1:11" x14ac:dyDescent="0.35">
      <c r="A38" s="1" t="s">
        <v>223</v>
      </c>
      <c r="B38">
        <v>60</v>
      </c>
      <c r="C38" t="s">
        <v>901</v>
      </c>
      <c r="E38" s="4">
        <f>SUM($F$9:G37)+0.1</f>
        <v>6.1</v>
      </c>
      <c r="J38" s="7" t="s">
        <v>1043</v>
      </c>
      <c r="K38" t="s">
        <v>964</v>
      </c>
    </row>
    <row r="39" spans="1:11" x14ac:dyDescent="0.35">
      <c r="A39" s="1" t="s">
        <v>2</v>
      </c>
      <c r="B39">
        <v>60</v>
      </c>
      <c r="E39" s="4">
        <f>SUM($F$9:G38)+0.1</f>
        <v>6.1</v>
      </c>
      <c r="F39">
        <v>5</v>
      </c>
      <c r="J39" s="7" t="s">
        <v>1044</v>
      </c>
      <c r="K39" s="6" t="s">
        <v>965</v>
      </c>
    </row>
    <row r="40" spans="1:11" x14ac:dyDescent="0.35">
      <c r="A40" s="1" t="s">
        <v>224</v>
      </c>
      <c r="B40">
        <v>60</v>
      </c>
      <c r="E40" s="4">
        <f>SUM($F$9:G39)+0.1</f>
        <v>11.1</v>
      </c>
      <c r="J40" s="7" t="s">
        <v>1045</v>
      </c>
      <c r="K40" t="s">
        <v>966</v>
      </c>
    </row>
    <row r="41" spans="1:11" x14ac:dyDescent="0.35">
      <c r="A41" s="1" t="s">
        <v>1854</v>
      </c>
      <c r="E41" s="4">
        <f>SUM($F$9:G40)+0.1</f>
        <v>11.1</v>
      </c>
      <c r="J41" s="7" t="s">
        <v>1046</v>
      </c>
      <c r="K41" t="s">
        <v>967</v>
      </c>
    </row>
    <row r="42" spans="1:11" x14ac:dyDescent="0.35">
      <c r="A42" s="1" t="s">
        <v>663</v>
      </c>
      <c r="B42">
        <v>60</v>
      </c>
      <c r="E42" s="4">
        <f>SUM($F$9:G41)+0.1</f>
        <v>11.1</v>
      </c>
      <c r="J42" s="7" t="s">
        <v>1047</v>
      </c>
      <c r="K42" s="6" t="s">
        <v>968</v>
      </c>
    </row>
    <row r="43" spans="1:11" x14ac:dyDescent="0.35">
      <c r="A43" s="13" t="s">
        <v>929</v>
      </c>
      <c r="B43">
        <v>60</v>
      </c>
      <c r="C43" t="s">
        <v>901</v>
      </c>
      <c r="E43" s="4">
        <f>SUM($F$9:G42)+0.1</f>
        <v>11.1</v>
      </c>
      <c r="J43" s="7" t="s">
        <v>1048</v>
      </c>
      <c r="K43" t="s">
        <v>969</v>
      </c>
    </row>
    <row r="44" spans="1:11" x14ac:dyDescent="0.35">
      <c r="A44" s="1" t="s">
        <v>3</v>
      </c>
      <c r="B44">
        <v>60</v>
      </c>
      <c r="E44" s="4">
        <f>SUM($F$9:G43)+0.1</f>
        <v>11.1</v>
      </c>
      <c r="J44" s="7" t="s">
        <v>1049</v>
      </c>
      <c r="K44" s="7" t="s">
        <v>970</v>
      </c>
    </row>
    <row r="45" spans="1:11" x14ac:dyDescent="0.35">
      <c r="A45" s="1" t="s">
        <v>225</v>
      </c>
      <c r="B45">
        <v>60</v>
      </c>
      <c r="E45" s="4">
        <f>SUM($F$9:G44)+0.1</f>
        <v>11.1</v>
      </c>
      <c r="J45" s="7" t="s">
        <v>1050</v>
      </c>
      <c r="K45" t="s">
        <v>971</v>
      </c>
    </row>
    <row r="46" spans="1:11" x14ac:dyDescent="0.35">
      <c r="A46" s="1" t="s">
        <v>4</v>
      </c>
      <c r="B46">
        <v>60</v>
      </c>
      <c r="C46" t="s">
        <v>903</v>
      </c>
      <c r="E46" s="4">
        <f>SUM($F$9:G45)+0.1</f>
        <v>11.1</v>
      </c>
      <c r="J46" s="7" t="s">
        <v>1051</v>
      </c>
      <c r="K46" t="s">
        <v>972</v>
      </c>
    </row>
    <row r="47" spans="1:11" x14ac:dyDescent="0.35">
      <c r="A47" s="1" t="s">
        <v>5</v>
      </c>
      <c r="B47">
        <v>60</v>
      </c>
      <c r="E47" s="4">
        <f>SUM($F$9:G46)+0.1</f>
        <v>11.1</v>
      </c>
      <c r="J47" s="7" t="s">
        <v>1052</v>
      </c>
      <c r="K47" s="6" t="s">
        <v>973</v>
      </c>
    </row>
    <row r="48" spans="1:11" x14ac:dyDescent="0.35">
      <c r="A48" s="1" t="s">
        <v>464</v>
      </c>
      <c r="B48">
        <v>60</v>
      </c>
      <c r="C48" t="s">
        <v>903</v>
      </c>
      <c r="E48" s="4">
        <f>SUM($F$9:G47)+0.1</f>
        <v>11.1</v>
      </c>
      <c r="J48" s="7" t="s">
        <v>1053</v>
      </c>
      <c r="K48" t="s">
        <v>974</v>
      </c>
    </row>
    <row r="49" spans="1:11" x14ac:dyDescent="0.35">
      <c r="A49" s="1" t="s">
        <v>6</v>
      </c>
      <c r="B49">
        <v>60</v>
      </c>
      <c r="C49" t="s">
        <v>903</v>
      </c>
      <c r="E49" s="4">
        <f>SUM($F$9:G48)+0.1</f>
        <v>11.1</v>
      </c>
      <c r="F49">
        <v>3</v>
      </c>
      <c r="J49" s="7" t="s">
        <v>1054</v>
      </c>
      <c r="K49" s="6" t="s">
        <v>975</v>
      </c>
    </row>
    <row r="50" spans="1:11" x14ac:dyDescent="0.35">
      <c r="A50" s="1" t="s">
        <v>196</v>
      </c>
      <c r="B50">
        <v>60</v>
      </c>
      <c r="C50" t="s">
        <v>900</v>
      </c>
      <c r="E50" s="4">
        <f>SUM($F$9:G49)+0.1</f>
        <v>14.1</v>
      </c>
      <c r="J50" s="7" t="s">
        <v>1055</v>
      </c>
      <c r="K50" s="7" t="s">
        <v>976</v>
      </c>
    </row>
    <row r="51" spans="1:11" x14ac:dyDescent="0.35">
      <c r="A51" s="1" t="s">
        <v>585</v>
      </c>
      <c r="B51">
        <v>60</v>
      </c>
      <c r="C51" t="s">
        <v>900</v>
      </c>
      <c r="E51" s="4">
        <f>SUM($F$9:G50)+0.1</f>
        <v>14.1</v>
      </c>
      <c r="J51" s="7" t="s">
        <v>1056</v>
      </c>
      <c r="K51" t="s">
        <v>977</v>
      </c>
    </row>
    <row r="52" spans="1:11" x14ac:dyDescent="0.35">
      <c r="A52" s="1" t="s">
        <v>1845</v>
      </c>
      <c r="E52" s="4">
        <f>SUM($F$9:G51)+0.1</f>
        <v>14.1</v>
      </c>
      <c r="J52" s="7" t="s">
        <v>1057</v>
      </c>
      <c r="K52" s="6" t="s">
        <v>978</v>
      </c>
    </row>
    <row r="53" spans="1:11" x14ac:dyDescent="0.35">
      <c r="A53" s="1" t="s">
        <v>7</v>
      </c>
      <c r="B53">
        <v>60</v>
      </c>
      <c r="E53" s="4">
        <f>SUM($F$9:G52)+0.1</f>
        <v>14.1</v>
      </c>
      <c r="J53" s="7" t="s">
        <v>1058</v>
      </c>
      <c r="K53" t="s">
        <v>979</v>
      </c>
    </row>
    <row r="54" spans="1:11" x14ac:dyDescent="0.35">
      <c r="A54" s="1" t="s">
        <v>227</v>
      </c>
      <c r="B54">
        <v>60</v>
      </c>
      <c r="C54" t="s">
        <v>901</v>
      </c>
      <c r="E54" s="4">
        <f>SUM($F$9:G53)+0.1</f>
        <v>14.1</v>
      </c>
      <c r="J54" s="7" t="s">
        <v>1059</v>
      </c>
      <c r="K54" s="7" t="s">
        <v>980</v>
      </c>
    </row>
    <row r="55" spans="1:11" x14ac:dyDescent="0.35">
      <c r="A55" s="1" t="s">
        <v>8</v>
      </c>
      <c r="B55">
        <v>60</v>
      </c>
      <c r="C55" t="s">
        <v>900</v>
      </c>
      <c r="E55" s="4">
        <f>SUM($F$9:G54)+0.1</f>
        <v>14.1</v>
      </c>
      <c r="J55" s="7" t="s">
        <v>1060</v>
      </c>
      <c r="K55" t="s">
        <v>981</v>
      </c>
    </row>
    <row r="56" spans="1:11" x14ac:dyDescent="0.35">
      <c r="A56" s="1" t="s">
        <v>664</v>
      </c>
      <c r="B56">
        <v>60</v>
      </c>
      <c r="C56" t="s">
        <v>901</v>
      </c>
      <c r="E56" s="4">
        <f>SUM($F$9:G55)+0.1</f>
        <v>14.1</v>
      </c>
      <c r="J56" s="9" t="s">
        <v>1061</v>
      </c>
      <c r="K56" s="7" t="s">
        <v>982</v>
      </c>
    </row>
    <row r="57" spans="1:11" x14ac:dyDescent="0.35">
      <c r="A57" s="1" t="s">
        <v>1847</v>
      </c>
      <c r="E57" s="4">
        <f>SUM($F$9:G56)+0.1</f>
        <v>14.1</v>
      </c>
      <c r="J57" s="7" t="s">
        <v>1062</v>
      </c>
      <c r="K57" s="7" t="s">
        <v>983</v>
      </c>
    </row>
    <row r="58" spans="1:11" x14ac:dyDescent="0.35">
      <c r="A58" s="1" t="s">
        <v>587</v>
      </c>
      <c r="B58">
        <v>60</v>
      </c>
      <c r="E58" s="4">
        <f>SUM($F$9:G57)+0.1</f>
        <v>14.1</v>
      </c>
      <c r="J58" s="7" t="s">
        <v>1063</v>
      </c>
      <c r="K58" t="s">
        <v>984</v>
      </c>
    </row>
    <row r="59" spans="1:11" x14ac:dyDescent="0.35">
      <c r="A59" s="1" t="s">
        <v>228</v>
      </c>
      <c r="B59">
        <v>60</v>
      </c>
      <c r="E59" s="4">
        <f>SUM($F$9:G58)+0.1</f>
        <v>14.1</v>
      </c>
      <c r="J59" s="9" t="s">
        <v>1064</v>
      </c>
      <c r="K59" s="6" t="s">
        <v>985</v>
      </c>
    </row>
    <row r="60" spans="1:11" x14ac:dyDescent="0.35">
      <c r="A60" s="1" t="s">
        <v>465</v>
      </c>
      <c r="B60">
        <v>60</v>
      </c>
      <c r="C60" t="s">
        <v>901</v>
      </c>
      <c r="E60" s="4">
        <f>SUM($F$9:G59)+0.1</f>
        <v>14.1</v>
      </c>
      <c r="J60" s="7" t="s">
        <v>1065</v>
      </c>
      <c r="K60" t="s">
        <v>986</v>
      </c>
    </row>
    <row r="61" spans="1:11" x14ac:dyDescent="0.35">
      <c r="A61" s="1" t="s">
        <v>729</v>
      </c>
      <c r="B61">
        <v>60</v>
      </c>
      <c r="C61" t="s">
        <v>900</v>
      </c>
      <c r="E61" s="4">
        <f>SUM($F$9:G60)+0.1</f>
        <v>14.1</v>
      </c>
      <c r="J61" s="9" t="s">
        <v>1066</v>
      </c>
      <c r="K61" s="6" t="s">
        <v>987</v>
      </c>
    </row>
    <row r="62" spans="1:11" x14ac:dyDescent="0.35">
      <c r="A62" s="1" t="s">
        <v>229</v>
      </c>
      <c r="B62">
        <v>60</v>
      </c>
      <c r="E62" s="4">
        <f>SUM($F$9:G61)+0.1</f>
        <v>14.1</v>
      </c>
      <c r="J62" s="7" t="s">
        <v>1067</v>
      </c>
      <c r="K62" s="6" t="s">
        <v>988</v>
      </c>
    </row>
    <row r="63" spans="1:11" x14ac:dyDescent="0.35">
      <c r="A63" s="1" t="s">
        <v>11</v>
      </c>
      <c r="E63" s="4">
        <f>SUM($F$9:G62)+0.1</f>
        <v>14.1</v>
      </c>
      <c r="J63" s="7" t="s">
        <v>1068</v>
      </c>
      <c r="K63" t="s">
        <v>989</v>
      </c>
    </row>
    <row r="64" spans="1:11" x14ac:dyDescent="0.35">
      <c r="A64" s="12" t="s">
        <v>49</v>
      </c>
      <c r="B64" s="3"/>
      <c r="E64" s="4">
        <f>SUM($F$9:G63)+0.1</f>
        <v>14.1</v>
      </c>
      <c r="F64">
        <v>10</v>
      </c>
      <c r="J64" s="9" t="s">
        <v>1069</v>
      </c>
      <c r="K64" s="6" t="s">
        <v>990</v>
      </c>
    </row>
    <row r="65" spans="1:11" x14ac:dyDescent="0.35">
      <c r="A65" s="1" t="s">
        <v>173</v>
      </c>
      <c r="B65">
        <v>60</v>
      </c>
      <c r="E65" s="4">
        <f>SUM($F$9:G64)+0.1</f>
        <v>24.1</v>
      </c>
      <c r="F65">
        <v>45</v>
      </c>
      <c r="J65" s="7" t="s">
        <v>1070</v>
      </c>
      <c r="K65" t="s">
        <v>991</v>
      </c>
    </row>
    <row r="66" spans="1:11" x14ac:dyDescent="0.35">
      <c r="A66" s="1" t="s">
        <v>792</v>
      </c>
      <c r="B66">
        <v>60</v>
      </c>
      <c r="E66" s="4">
        <f>SUM($F$9:G65)+0.1</f>
        <v>69.099999999999994</v>
      </c>
      <c r="J66" s="7" t="s">
        <v>1071</v>
      </c>
      <c r="K66" s="6" t="s">
        <v>992</v>
      </c>
    </row>
    <row r="67" spans="1:11" x14ac:dyDescent="0.35">
      <c r="A67" s="1" t="s">
        <v>232</v>
      </c>
      <c r="B67">
        <v>60</v>
      </c>
      <c r="C67" t="s">
        <v>900</v>
      </c>
      <c r="E67" s="4">
        <f>SUM($F$9:G66)+0.1</f>
        <v>69.099999999999994</v>
      </c>
      <c r="J67" s="9" t="s">
        <v>1072</v>
      </c>
      <c r="K67" t="s">
        <v>993</v>
      </c>
    </row>
    <row r="68" spans="1:11" x14ac:dyDescent="0.35">
      <c r="A68" s="1" t="s">
        <v>13</v>
      </c>
      <c r="B68">
        <v>60</v>
      </c>
      <c r="C68" t="s">
        <v>901</v>
      </c>
      <c r="E68" s="4">
        <f>SUM($F$9:G67)+0.1</f>
        <v>69.099999999999994</v>
      </c>
      <c r="F68">
        <v>3</v>
      </c>
      <c r="J68" s="7" t="s">
        <v>1073</v>
      </c>
      <c r="K68" s="6" t="s">
        <v>994</v>
      </c>
    </row>
    <row r="69" spans="1:11" x14ac:dyDescent="0.35">
      <c r="A69" s="1" t="s">
        <v>666</v>
      </c>
      <c r="B69">
        <v>60</v>
      </c>
      <c r="E69" s="4">
        <f>SUM($F$9:G68)+0.1</f>
        <v>72.099999999999994</v>
      </c>
      <c r="J69" s="9" t="s">
        <v>1074</v>
      </c>
      <c r="K69" t="s">
        <v>995</v>
      </c>
    </row>
    <row r="70" spans="1:11" x14ac:dyDescent="0.35">
      <c r="A70" s="1" t="s">
        <v>14</v>
      </c>
      <c r="B70">
        <v>60</v>
      </c>
      <c r="E70" s="4">
        <f>SUM($F$9:G69)+0.1</f>
        <v>72.099999999999994</v>
      </c>
      <c r="F70">
        <v>5</v>
      </c>
      <c r="J70" s="7" t="s">
        <v>1075</v>
      </c>
      <c r="K70" t="s">
        <v>996</v>
      </c>
    </row>
    <row r="71" spans="1:11" x14ac:dyDescent="0.35">
      <c r="A71" s="1" t="s">
        <v>15</v>
      </c>
      <c r="E71" s="4">
        <f>SUM($F$9:G70)+0.1</f>
        <v>77.099999999999994</v>
      </c>
      <c r="J71" s="7" t="s">
        <v>1076</v>
      </c>
      <c r="K71" t="s">
        <v>997</v>
      </c>
    </row>
    <row r="72" spans="1:11" x14ac:dyDescent="0.35">
      <c r="A72" s="1" t="s">
        <v>1844</v>
      </c>
      <c r="E72" s="4">
        <f>SUM($F$9:G71)+0.1</f>
        <v>77.099999999999994</v>
      </c>
      <c r="J72" s="9" t="s">
        <v>1077</v>
      </c>
      <c r="K72" s="6" t="s">
        <v>998</v>
      </c>
    </row>
    <row r="73" spans="1:11" x14ac:dyDescent="0.35">
      <c r="A73" s="1" t="s">
        <v>16</v>
      </c>
      <c r="B73">
        <v>60</v>
      </c>
      <c r="C73" t="s">
        <v>900</v>
      </c>
      <c r="E73" s="4">
        <f>SUM($F$9:G72)+0.1</f>
        <v>77.099999999999994</v>
      </c>
      <c r="J73" s="7" t="s">
        <v>1078</v>
      </c>
      <c r="K73" t="s">
        <v>999</v>
      </c>
    </row>
    <row r="74" spans="1:11" x14ac:dyDescent="0.35">
      <c r="A74" s="1" t="s">
        <v>235</v>
      </c>
      <c r="B74">
        <v>60</v>
      </c>
      <c r="C74" t="s">
        <v>901</v>
      </c>
      <c r="E74" s="4">
        <f>SUM($F$9:G73)+0.1</f>
        <v>77.099999999999994</v>
      </c>
      <c r="J74" s="7" t="s">
        <v>1079</v>
      </c>
      <c r="K74" s="6" t="s">
        <v>1000</v>
      </c>
    </row>
    <row r="75" spans="1:11" x14ac:dyDescent="0.35">
      <c r="A75" s="1" t="s">
        <v>200</v>
      </c>
      <c r="B75">
        <v>60</v>
      </c>
      <c r="D75" t="s">
        <v>904</v>
      </c>
      <c r="E75" s="4">
        <f>SUM($F$9:G74)+0.1</f>
        <v>77.099999999999994</v>
      </c>
      <c r="J75" s="9" t="s">
        <v>1080</v>
      </c>
      <c r="K75" s="8" t="s">
        <v>1001</v>
      </c>
    </row>
    <row r="76" spans="1:11" x14ac:dyDescent="0.35">
      <c r="A76" s="1" t="s">
        <v>17</v>
      </c>
      <c r="B76">
        <v>60</v>
      </c>
      <c r="D76" t="s">
        <v>27</v>
      </c>
      <c r="E76" s="4">
        <f>SUM($F$9:G75)+0.1</f>
        <v>77.099999999999994</v>
      </c>
      <c r="J76" s="9" t="s">
        <v>1081</v>
      </c>
      <c r="K76" t="s">
        <v>1002</v>
      </c>
    </row>
    <row r="77" spans="1:11" x14ac:dyDescent="0.35">
      <c r="A77" s="1" t="s">
        <v>829</v>
      </c>
      <c r="B77">
        <v>60</v>
      </c>
      <c r="C77" t="s">
        <v>900</v>
      </c>
      <c r="E77" s="4">
        <f>SUM($F$9:G76)+0.1</f>
        <v>77.099999999999994</v>
      </c>
      <c r="J77" s="7" t="s">
        <v>1082</v>
      </c>
      <c r="K77" t="s">
        <v>1003</v>
      </c>
    </row>
    <row r="78" spans="1:11" x14ac:dyDescent="0.35">
      <c r="A78" s="1" t="s">
        <v>470</v>
      </c>
      <c r="B78">
        <v>60</v>
      </c>
      <c r="E78" s="4">
        <f>SUM($F$9:G77)+0.1</f>
        <v>77.099999999999994</v>
      </c>
      <c r="J78" s="7" t="s">
        <v>1083</v>
      </c>
      <c r="K78" t="s">
        <v>1004</v>
      </c>
    </row>
    <row r="79" spans="1:11" x14ac:dyDescent="0.35">
      <c r="A79" s="1" t="s">
        <v>592</v>
      </c>
      <c r="B79">
        <v>60</v>
      </c>
      <c r="E79" s="4">
        <f>SUM($F$9:G78)+0.1</f>
        <v>77.099999999999994</v>
      </c>
      <c r="J79" s="9" t="s">
        <v>1084</v>
      </c>
      <c r="K79" s="6" t="s">
        <v>1005</v>
      </c>
    </row>
    <row r="80" spans="1:11" x14ac:dyDescent="0.35">
      <c r="A80" s="1" t="s">
        <v>793</v>
      </c>
      <c r="B80">
        <v>60</v>
      </c>
      <c r="C80" t="s">
        <v>901</v>
      </c>
      <c r="E80" s="4">
        <f>SUM($F$9:G79)+0.1</f>
        <v>77.099999999999994</v>
      </c>
      <c r="J80" s="7" t="s">
        <v>1085</v>
      </c>
      <c r="K80" t="s">
        <v>1006</v>
      </c>
    </row>
    <row r="81" spans="1:11" x14ac:dyDescent="0.35">
      <c r="A81" s="1" t="s">
        <v>471</v>
      </c>
      <c r="B81">
        <v>60</v>
      </c>
      <c r="E81" s="4">
        <f>SUM($F$9:G80)+0.1</f>
        <v>77.099999999999994</v>
      </c>
      <c r="J81" s="7" t="s">
        <v>1086</v>
      </c>
      <c r="K81" t="s">
        <v>1007</v>
      </c>
    </row>
    <row r="82" spans="1:11" x14ac:dyDescent="0.35">
      <c r="A82" s="1" t="s">
        <v>19</v>
      </c>
      <c r="E82" s="4">
        <f>SUM($F$9:G81)+0.1</f>
        <v>77.099999999999994</v>
      </c>
      <c r="J82" s="9" t="s">
        <v>1087</v>
      </c>
      <c r="K82" s="6" t="s">
        <v>1008</v>
      </c>
    </row>
    <row r="83" spans="1:11" x14ac:dyDescent="0.35">
      <c r="A83" s="12" t="s">
        <v>236</v>
      </c>
      <c r="B83">
        <v>60</v>
      </c>
      <c r="C83" t="s">
        <v>903</v>
      </c>
      <c r="E83" s="4">
        <f>SUM($F$9:G82)+0.1</f>
        <v>77.099999999999994</v>
      </c>
      <c r="F83">
        <v>20</v>
      </c>
      <c r="J83" s="7" t="s">
        <v>1088</v>
      </c>
      <c r="K83" t="s">
        <v>1862</v>
      </c>
    </row>
    <row r="84" spans="1:11" x14ac:dyDescent="0.35">
      <c r="A84" s="1" t="s">
        <v>1837</v>
      </c>
      <c r="E84" s="4">
        <f>SUM($F$9:G83)+0.1</f>
        <v>97.1</v>
      </c>
      <c r="J84" s="7" t="s">
        <v>1089</v>
      </c>
      <c r="K84" t="s">
        <v>1863</v>
      </c>
    </row>
    <row r="85" spans="1:11" x14ac:dyDescent="0.35">
      <c r="A85" s="1" t="s">
        <v>20</v>
      </c>
      <c r="B85">
        <v>60</v>
      </c>
      <c r="E85" s="4">
        <f>SUM($F$9:G84)+0.1</f>
        <v>97.1</v>
      </c>
      <c r="J85" s="9" t="s">
        <v>1090</v>
      </c>
      <c r="K85" t="s">
        <v>1864</v>
      </c>
    </row>
    <row r="86" spans="1:11" x14ac:dyDescent="0.35">
      <c r="A86" s="1" t="s">
        <v>21</v>
      </c>
      <c r="B86">
        <v>60</v>
      </c>
      <c r="E86" s="4">
        <f>SUM($F$9:G85)+0.1</f>
        <v>97.1</v>
      </c>
      <c r="J86" s="7" t="s">
        <v>1091</v>
      </c>
      <c r="K86" s="6" t="s">
        <v>1865</v>
      </c>
    </row>
    <row r="87" spans="1:11" x14ac:dyDescent="0.35">
      <c r="A87" s="12" t="s">
        <v>22</v>
      </c>
      <c r="B87">
        <v>60</v>
      </c>
      <c r="E87" s="4">
        <f>SUM($F$9:G86)+0.1</f>
        <v>97.1</v>
      </c>
      <c r="F87">
        <v>15</v>
      </c>
      <c r="J87" s="7" t="s">
        <v>1092</v>
      </c>
      <c r="K87" t="s">
        <v>1866</v>
      </c>
    </row>
    <row r="88" spans="1:11" x14ac:dyDescent="0.35">
      <c r="A88" s="1" t="s">
        <v>237</v>
      </c>
      <c r="B88">
        <v>60</v>
      </c>
      <c r="E88" s="4">
        <f>SUM($F$9:G87)+0.1</f>
        <v>112.1</v>
      </c>
      <c r="J88" s="9" t="s">
        <v>1093</v>
      </c>
      <c r="K88" s="6" t="s">
        <v>1867</v>
      </c>
    </row>
    <row r="89" spans="1:11" x14ac:dyDescent="0.35">
      <c r="A89" s="1" t="s">
        <v>238</v>
      </c>
      <c r="B89">
        <v>60</v>
      </c>
      <c r="C89">
        <v>1</v>
      </c>
      <c r="E89" s="4">
        <f>SUM($F$9:G88)+0.1</f>
        <v>112.1</v>
      </c>
      <c r="J89" s="7" t="s">
        <v>1094</v>
      </c>
      <c r="K89" t="s">
        <v>1868</v>
      </c>
    </row>
    <row r="90" spans="1:11" x14ac:dyDescent="0.35">
      <c r="A90" s="1" t="s">
        <v>24</v>
      </c>
      <c r="B90">
        <v>60</v>
      </c>
      <c r="E90" s="4">
        <f>SUM($F$9:G89)+0.1</f>
        <v>112.1</v>
      </c>
      <c r="F90">
        <v>5</v>
      </c>
      <c r="J90" s="7" t="s">
        <v>1095</v>
      </c>
      <c r="K90" s="6" t="s">
        <v>1869</v>
      </c>
    </row>
    <row r="91" spans="1:11" x14ac:dyDescent="0.35">
      <c r="A91" s="1" t="s">
        <v>794</v>
      </c>
      <c r="B91">
        <v>60</v>
      </c>
      <c r="C91" t="s">
        <v>900</v>
      </c>
      <c r="E91" s="4">
        <f>SUM($F$9:G90)+0.1</f>
        <v>117.1</v>
      </c>
      <c r="J91" s="7" t="s">
        <v>1096</v>
      </c>
      <c r="K91" t="s">
        <v>1870</v>
      </c>
    </row>
    <row r="92" spans="1:11" x14ac:dyDescent="0.35">
      <c r="A92" s="1" t="s">
        <v>593</v>
      </c>
      <c r="B92">
        <v>60</v>
      </c>
      <c r="C92" t="s">
        <v>900</v>
      </c>
      <c r="E92" s="4">
        <f>SUM($F$9:G91)+0.1</f>
        <v>117.1</v>
      </c>
      <c r="J92" s="7" t="s">
        <v>1097</v>
      </c>
      <c r="K92" t="s">
        <v>1871</v>
      </c>
    </row>
    <row r="93" spans="1:11" x14ac:dyDescent="0.35">
      <c r="A93" s="1" t="s">
        <v>594</v>
      </c>
      <c r="B93">
        <v>60</v>
      </c>
      <c r="E93" s="4">
        <f>SUM($F$9:G92)+0.1</f>
        <v>117.1</v>
      </c>
      <c r="J93" s="7" t="s">
        <v>1098</v>
      </c>
      <c r="K93" t="s">
        <v>1872</v>
      </c>
    </row>
    <row r="94" spans="1:11" x14ac:dyDescent="0.35">
      <c r="A94" s="1" t="s">
        <v>473</v>
      </c>
      <c r="B94">
        <v>60</v>
      </c>
      <c r="E94" s="4">
        <f>SUM($F$9:G93)+0.1</f>
        <v>117.1</v>
      </c>
      <c r="J94" s="7" t="s">
        <v>1099</v>
      </c>
    </row>
    <row r="95" spans="1:11" x14ac:dyDescent="0.35">
      <c r="A95" s="12" t="s">
        <v>26</v>
      </c>
      <c r="B95">
        <v>60</v>
      </c>
      <c r="E95" s="4">
        <f>SUM($F$9:G94)+0.1</f>
        <v>117.1</v>
      </c>
      <c r="F95">
        <v>105</v>
      </c>
      <c r="J95" s="7" t="s">
        <v>1100</v>
      </c>
    </row>
    <row r="96" spans="1:11" x14ac:dyDescent="0.35">
      <c r="A96" s="1" t="s">
        <v>241</v>
      </c>
      <c r="B96">
        <v>60</v>
      </c>
      <c r="C96" t="s">
        <v>901</v>
      </c>
      <c r="E96" s="4">
        <f>SUM($F$9:G95)+0.1</f>
        <v>222.1</v>
      </c>
      <c r="J96" s="7" t="s">
        <v>1101</v>
      </c>
    </row>
    <row r="97" spans="1:10" x14ac:dyDescent="0.35">
      <c r="A97" s="1" t="s">
        <v>844</v>
      </c>
      <c r="B97">
        <v>60</v>
      </c>
      <c r="C97">
        <v>1</v>
      </c>
      <c r="E97" s="4">
        <f>SUM($F$9:G96)+0.1</f>
        <v>222.1</v>
      </c>
      <c r="J97" s="7" t="s">
        <v>1102</v>
      </c>
    </row>
    <row r="98" spans="1:10" x14ac:dyDescent="0.35">
      <c r="A98" s="1" t="s">
        <v>27</v>
      </c>
      <c r="B98">
        <v>60</v>
      </c>
      <c r="E98" s="4">
        <f>SUM($F$9:G97)+0.1</f>
        <v>222.1</v>
      </c>
      <c r="J98" s="7" t="s">
        <v>1103</v>
      </c>
    </row>
    <row r="99" spans="1:10" x14ac:dyDescent="0.35">
      <c r="A99" s="1" t="s">
        <v>242</v>
      </c>
      <c r="B99">
        <v>60</v>
      </c>
      <c r="E99" s="4">
        <f>SUM($F$9:G98)+0.1</f>
        <v>222.1</v>
      </c>
      <c r="J99" s="7" t="s">
        <v>1104</v>
      </c>
    </row>
    <row r="100" spans="1:10" x14ac:dyDescent="0.35">
      <c r="A100" s="1" t="s">
        <v>1838</v>
      </c>
      <c r="E100" s="4">
        <f>SUM($F$9:G99)+0.1</f>
        <v>222.1</v>
      </c>
      <c r="J100" s="7" t="s">
        <v>1105</v>
      </c>
    </row>
    <row r="101" spans="1:10" x14ac:dyDescent="0.35">
      <c r="A101" s="1" t="s">
        <v>243</v>
      </c>
      <c r="B101">
        <v>60</v>
      </c>
      <c r="E101" s="4">
        <f>SUM($F$9:G100)+0.1</f>
        <v>222.1</v>
      </c>
      <c r="J101" s="7" t="s">
        <v>1106</v>
      </c>
    </row>
    <row r="102" spans="1:10" x14ac:dyDescent="0.35">
      <c r="A102" s="1" t="s">
        <v>189</v>
      </c>
      <c r="B102">
        <v>60</v>
      </c>
      <c r="E102" s="4">
        <f>SUM($F$9:G101)+0.1</f>
        <v>222.1</v>
      </c>
      <c r="J102" s="7" t="s">
        <v>1107</v>
      </c>
    </row>
    <row r="103" spans="1:10" x14ac:dyDescent="0.35">
      <c r="A103" s="1" t="s">
        <v>596</v>
      </c>
      <c r="B103">
        <v>60</v>
      </c>
      <c r="E103" s="4">
        <f>SUM($F$9:G102)+0.1</f>
        <v>222.1</v>
      </c>
      <c r="J103" s="7" t="s">
        <v>1108</v>
      </c>
    </row>
    <row r="104" spans="1:10" x14ac:dyDescent="0.35">
      <c r="A104" s="1" t="s">
        <v>29</v>
      </c>
      <c r="B104">
        <v>60</v>
      </c>
      <c r="E104" s="4">
        <f>SUM($F$9:G103)+0.1</f>
        <v>222.1</v>
      </c>
      <c r="F104">
        <v>5</v>
      </c>
      <c r="J104" s="7" t="s">
        <v>1109</v>
      </c>
    </row>
    <row r="105" spans="1:10" x14ac:dyDescent="0.35">
      <c r="A105" s="1" t="s">
        <v>244</v>
      </c>
      <c r="B105">
        <v>60</v>
      </c>
      <c r="E105" s="4">
        <f>SUM($F$9:G104)+0.1</f>
        <v>227.1</v>
      </c>
      <c r="J105" s="7" t="s">
        <v>1110</v>
      </c>
    </row>
    <row r="106" spans="1:10" x14ac:dyDescent="0.35">
      <c r="A106" s="1" t="s">
        <v>864</v>
      </c>
      <c r="B106">
        <v>60</v>
      </c>
      <c r="C106">
        <v>1</v>
      </c>
      <c r="E106" s="4">
        <f>SUM($F$9:G105)+0.1</f>
        <v>227.1</v>
      </c>
      <c r="J106" s="7" t="s">
        <v>1111</v>
      </c>
    </row>
    <row r="107" spans="1:10" x14ac:dyDescent="0.35">
      <c r="A107" s="1" t="s">
        <v>475</v>
      </c>
      <c r="B107">
        <v>60</v>
      </c>
      <c r="C107" t="s">
        <v>901</v>
      </c>
      <c r="E107" s="4">
        <f>SUM($F$9:G106)+0.1</f>
        <v>227.1</v>
      </c>
      <c r="J107" s="7" t="s">
        <v>1112</v>
      </c>
    </row>
    <row r="108" spans="1:10" x14ac:dyDescent="0.35">
      <c r="A108" s="1" t="s">
        <v>476</v>
      </c>
      <c r="B108">
        <v>60</v>
      </c>
      <c r="E108" s="4">
        <f>SUM($F$9:G107)+0.1</f>
        <v>227.1</v>
      </c>
      <c r="J108" s="7" t="s">
        <v>1113</v>
      </c>
    </row>
    <row r="109" spans="1:10" x14ac:dyDescent="0.35">
      <c r="A109" s="1" t="s">
        <v>597</v>
      </c>
      <c r="B109">
        <v>60</v>
      </c>
      <c r="E109" s="4">
        <f>SUM($F$9:G108)+0.1</f>
        <v>227.1</v>
      </c>
      <c r="J109" s="10" t="s">
        <v>1114</v>
      </c>
    </row>
    <row r="110" spans="1:10" x14ac:dyDescent="0.35">
      <c r="A110" s="1" t="s">
        <v>668</v>
      </c>
      <c r="B110">
        <v>60</v>
      </c>
      <c r="E110" s="4">
        <f>SUM($F$9:G109)+0.1</f>
        <v>227.1</v>
      </c>
      <c r="J110" s="10" t="s">
        <v>1115</v>
      </c>
    </row>
    <row r="111" spans="1:10" x14ac:dyDescent="0.35">
      <c r="A111" s="1" t="s">
        <v>478</v>
      </c>
      <c r="B111">
        <v>60</v>
      </c>
      <c r="C111" t="s">
        <v>900</v>
      </c>
      <c r="E111" s="4">
        <f>SUM($F$9:G110)+0.1</f>
        <v>227.1</v>
      </c>
      <c r="J111" s="10" t="s">
        <v>1116</v>
      </c>
    </row>
    <row r="112" spans="1:10" x14ac:dyDescent="0.35">
      <c r="A112" s="1" t="s">
        <v>477</v>
      </c>
      <c r="B112">
        <v>60</v>
      </c>
      <c r="E112" s="4">
        <f>SUM($F$9:G111)+0.1</f>
        <v>227.1</v>
      </c>
      <c r="J112" s="10" t="s">
        <v>1117</v>
      </c>
    </row>
    <row r="113" spans="1:10" x14ac:dyDescent="0.35">
      <c r="A113" s="1" t="s">
        <v>30</v>
      </c>
      <c r="B113">
        <v>60</v>
      </c>
      <c r="E113" s="4">
        <f>SUM($F$9:G112)+0.1</f>
        <v>227.1</v>
      </c>
      <c r="J113" s="10" t="s">
        <v>1118</v>
      </c>
    </row>
    <row r="114" spans="1:10" x14ac:dyDescent="0.35">
      <c r="A114" s="1" t="s">
        <v>31</v>
      </c>
      <c r="B114">
        <v>60</v>
      </c>
      <c r="C114" t="s">
        <v>901</v>
      </c>
      <c r="E114" s="4">
        <f>SUM($F$9:G113)+0.1</f>
        <v>227.1</v>
      </c>
      <c r="F114">
        <v>3</v>
      </c>
      <c r="J114" s="10" t="s">
        <v>1119</v>
      </c>
    </row>
    <row r="115" spans="1:10" x14ac:dyDescent="0.35">
      <c r="A115" s="1" t="s">
        <v>479</v>
      </c>
      <c r="B115">
        <v>60</v>
      </c>
      <c r="E115" s="4">
        <f>SUM($F$9:G114)+0.1</f>
        <v>230.1</v>
      </c>
      <c r="J115" s="7" t="s">
        <v>1120</v>
      </c>
    </row>
    <row r="116" spans="1:10" x14ac:dyDescent="0.35">
      <c r="A116" s="1" t="s">
        <v>33</v>
      </c>
      <c r="B116">
        <v>60</v>
      </c>
      <c r="E116" s="4">
        <f>SUM($F$9:G115)+0.1</f>
        <v>230.1</v>
      </c>
      <c r="J116" s="7" t="s">
        <v>1121</v>
      </c>
    </row>
    <row r="117" spans="1:10" x14ac:dyDescent="0.35">
      <c r="A117" s="1" t="s">
        <v>245</v>
      </c>
      <c r="B117">
        <v>60</v>
      </c>
      <c r="E117" s="4">
        <f>SUM($F$9:G116)+0.1</f>
        <v>230.1</v>
      </c>
      <c r="J117" s="7" t="s">
        <v>1122</v>
      </c>
    </row>
    <row r="118" spans="1:10" x14ac:dyDescent="0.35">
      <c r="A118" s="1" t="s">
        <v>731</v>
      </c>
      <c r="B118">
        <v>60</v>
      </c>
      <c r="E118" s="4">
        <f>SUM($F$9:G117)+0.1</f>
        <v>230.1</v>
      </c>
      <c r="J118" s="7" t="s">
        <v>1123</v>
      </c>
    </row>
    <row r="119" spans="1:10" x14ac:dyDescent="0.35">
      <c r="A119" s="1" t="s">
        <v>246</v>
      </c>
      <c r="B119">
        <v>60</v>
      </c>
      <c r="C119" t="s">
        <v>901</v>
      </c>
      <c r="E119" s="4">
        <f>SUM($F$9:G118)+0.1</f>
        <v>230.1</v>
      </c>
      <c r="F119">
        <v>2</v>
      </c>
      <c r="J119" s="7" t="s">
        <v>1124</v>
      </c>
    </row>
    <row r="120" spans="1:10" x14ac:dyDescent="0.35">
      <c r="A120" s="1" t="s">
        <v>481</v>
      </c>
      <c r="B120">
        <v>60</v>
      </c>
      <c r="E120" s="4">
        <f>SUM($F$9:G119)+0.1</f>
        <v>232.1</v>
      </c>
      <c r="J120" s="7" t="s">
        <v>1125</v>
      </c>
    </row>
    <row r="121" spans="1:10" x14ac:dyDescent="0.35">
      <c r="A121" s="1" t="s">
        <v>906</v>
      </c>
      <c r="B121">
        <v>60</v>
      </c>
      <c r="E121" s="4">
        <f>SUM($F$9:G120)+0.1</f>
        <v>232.1</v>
      </c>
      <c r="J121" s="7" t="s">
        <v>1126</v>
      </c>
    </row>
    <row r="122" spans="1:10" x14ac:dyDescent="0.35">
      <c r="A122" s="1" t="s">
        <v>247</v>
      </c>
      <c r="B122">
        <v>60</v>
      </c>
      <c r="C122" t="s">
        <v>900</v>
      </c>
      <c r="E122" s="4">
        <f>SUM($F$9:G121)+0.1</f>
        <v>232.1</v>
      </c>
      <c r="J122" s="7" t="s">
        <v>1127</v>
      </c>
    </row>
    <row r="123" spans="1:10" x14ac:dyDescent="0.35">
      <c r="A123" s="1" t="s">
        <v>248</v>
      </c>
      <c r="B123">
        <v>60</v>
      </c>
      <c r="C123" t="s">
        <v>901</v>
      </c>
      <c r="E123" s="4">
        <f>SUM($F$9:G122)+0.1</f>
        <v>232.1</v>
      </c>
      <c r="J123" s="7" t="s">
        <v>1128</v>
      </c>
    </row>
    <row r="124" spans="1:10" x14ac:dyDescent="0.35">
      <c r="A124" s="1" t="s">
        <v>388</v>
      </c>
      <c r="B124">
        <v>60</v>
      </c>
      <c r="C124" t="s">
        <v>900</v>
      </c>
      <c r="E124" s="4">
        <f>SUM($F$9:G123)+0.1</f>
        <v>232.1</v>
      </c>
      <c r="J124" s="7" t="s">
        <v>1129</v>
      </c>
    </row>
    <row r="125" spans="1:10" x14ac:dyDescent="0.35">
      <c r="A125" s="1" t="s">
        <v>34</v>
      </c>
      <c r="B125">
        <v>60</v>
      </c>
      <c r="C125">
        <v>1</v>
      </c>
      <c r="E125" s="4">
        <f>SUM($F$9:G124)+0.1</f>
        <v>232.1</v>
      </c>
      <c r="J125" s="7" t="s">
        <v>1130</v>
      </c>
    </row>
    <row r="126" spans="1:10" x14ac:dyDescent="0.35">
      <c r="A126" s="1" t="s">
        <v>250</v>
      </c>
      <c r="B126">
        <v>60</v>
      </c>
      <c r="C126" t="s">
        <v>900</v>
      </c>
      <c r="E126" s="4">
        <f>SUM($F$9:G125)+0.1</f>
        <v>232.1</v>
      </c>
      <c r="J126" s="7" t="s">
        <v>1131</v>
      </c>
    </row>
    <row r="127" spans="1:10" x14ac:dyDescent="0.35">
      <c r="A127" s="1" t="s">
        <v>251</v>
      </c>
      <c r="B127">
        <v>60</v>
      </c>
      <c r="C127" t="s">
        <v>900</v>
      </c>
      <c r="E127" s="4">
        <f>SUM($F$9:G126)+0.1</f>
        <v>232.1</v>
      </c>
      <c r="J127" s="7" t="s">
        <v>1132</v>
      </c>
    </row>
    <row r="128" spans="1:10" x14ac:dyDescent="0.35">
      <c r="A128" s="1" t="s">
        <v>846</v>
      </c>
      <c r="B128">
        <v>60</v>
      </c>
      <c r="E128" s="4">
        <f>SUM($F$9:G127)+0.1</f>
        <v>232.1</v>
      </c>
      <c r="J128" s="7" t="s">
        <v>1133</v>
      </c>
    </row>
    <row r="129" spans="1:10" x14ac:dyDescent="0.35">
      <c r="A129" s="1" t="s">
        <v>177</v>
      </c>
      <c r="B129">
        <v>60</v>
      </c>
      <c r="C129" t="s">
        <v>900</v>
      </c>
      <c r="E129" s="4">
        <f>SUM($F$9:G128)+0.1</f>
        <v>232.1</v>
      </c>
      <c r="J129" s="7" t="s">
        <v>1134</v>
      </c>
    </row>
    <row r="130" spans="1:10" x14ac:dyDescent="0.35">
      <c r="A130" s="1" t="s">
        <v>484</v>
      </c>
      <c r="B130">
        <v>60</v>
      </c>
      <c r="E130" s="4">
        <f>SUM($F$9:G129)+0.1</f>
        <v>232.1</v>
      </c>
      <c r="J130" s="7" t="s">
        <v>1135</v>
      </c>
    </row>
    <row r="131" spans="1:10" x14ac:dyDescent="0.35">
      <c r="A131" s="1" t="s">
        <v>832</v>
      </c>
      <c r="B131">
        <v>60</v>
      </c>
      <c r="C131" t="s">
        <v>901</v>
      </c>
      <c r="E131" s="4">
        <f>SUM($F$9:G130)+0.1</f>
        <v>232.1</v>
      </c>
      <c r="J131" s="7" t="s">
        <v>1136</v>
      </c>
    </row>
    <row r="132" spans="1:10" x14ac:dyDescent="0.35">
      <c r="A132" s="1" t="s">
        <v>389</v>
      </c>
      <c r="B132">
        <v>60</v>
      </c>
      <c r="C132" t="s">
        <v>903</v>
      </c>
      <c r="E132" s="4">
        <f>SUM($F$9:G131)+0.1</f>
        <v>232.1</v>
      </c>
      <c r="F132">
        <v>2</v>
      </c>
      <c r="J132" s="7" t="s">
        <v>1137</v>
      </c>
    </row>
    <row r="133" spans="1:10" x14ac:dyDescent="0.35">
      <c r="A133" s="1" t="s">
        <v>483</v>
      </c>
      <c r="B133">
        <v>60</v>
      </c>
      <c r="C133" t="s">
        <v>903</v>
      </c>
      <c r="E133" s="4">
        <f>SUM($F$9:G132)+0.1</f>
        <v>234.1</v>
      </c>
      <c r="J133" s="7" t="s">
        <v>1138</v>
      </c>
    </row>
    <row r="134" spans="1:10" x14ac:dyDescent="0.35">
      <c r="A134" s="1" t="s">
        <v>35</v>
      </c>
      <c r="B134">
        <v>60</v>
      </c>
      <c r="E134" s="4">
        <f>SUM($F$9:G133)+0.1</f>
        <v>234.1</v>
      </c>
      <c r="J134" s="7" t="s">
        <v>1139</v>
      </c>
    </row>
    <row r="135" spans="1:10" x14ac:dyDescent="0.35">
      <c r="A135" s="1" t="s">
        <v>390</v>
      </c>
      <c r="B135">
        <v>60</v>
      </c>
      <c r="C135" t="s">
        <v>900</v>
      </c>
      <c r="E135" s="4">
        <f>SUM($F$9:G134)+0.1</f>
        <v>234.1</v>
      </c>
      <c r="J135" s="7" t="s">
        <v>1140</v>
      </c>
    </row>
    <row r="136" spans="1:10" x14ac:dyDescent="0.35">
      <c r="A136" s="1" t="s">
        <v>556</v>
      </c>
      <c r="B136">
        <v>60</v>
      </c>
      <c r="C136" t="s">
        <v>900</v>
      </c>
      <c r="E136" s="4">
        <f>SUM($F$9:G135)+0.1</f>
        <v>234.1</v>
      </c>
      <c r="J136" s="7" t="s">
        <v>1141</v>
      </c>
    </row>
    <row r="137" spans="1:10" x14ac:dyDescent="0.35">
      <c r="A137" s="1" t="s">
        <v>915</v>
      </c>
      <c r="B137">
        <v>60</v>
      </c>
      <c r="E137" s="4">
        <f>SUM($F$9:G136)+0.1</f>
        <v>234.1</v>
      </c>
      <c r="J137" s="7" t="s">
        <v>1142</v>
      </c>
    </row>
    <row r="138" spans="1:10" x14ac:dyDescent="0.35">
      <c r="A138" s="1" t="s">
        <v>253</v>
      </c>
      <c r="B138">
        <v>60</v>
      </c>
      <c r="C138" t="s">
        <v>901</v>
      </c>
      <c r="E138" s="4">
        <f>SUM($F$9:G137)+0.1</f>
        <v>234.1</v>
      </c>
      <c r="F138">
        <v>4</v>
      </c>
      <c r="J138" s="7" t="s">
        <v>1143</v>
      </c>
    </row>
    <row r="139" spans="1:10" x14ac:dyDescent="0.35">
      <c r="A139" s="1" t="s">
        <v>485</v>
      </c>
      <c r="B139">
        <v>60</v>
      </c>
      <c r="E139" s="4">
        <f>SUM($F$9:G138)+0.1</f>
        <v>238.1</v>
      </c>
      <c r="J139" s="7" t="s">
        <v>1144</v>
      </c>
    </row>
    <row r="140" spans="1:10" x14ac:dyDescent="0.35">
      <c r="A140" s="1" t="s">
        <v>254</v>
      </c>
      <c r="B140">
        <v>60</v>
      </c>
      <c r="C140">
        <v>1</v>
      </c>
      <c r="E140" s="4">
        <f>SUM($F$9:G139)+0.1</f>
        <v>238.1</v>
      </c>
      <c r="J140" s="7" t="s">
        <v>1145</v>
      </c>
    </row>
    <row r="141" spans="1:10" x14ac:dyDescent="0.35">
      <c r="A141" s="1" t="s">
        <v>777</v>
      </c>
      <c r="E141" s="4">
        <f>SUM($F$9:G140)+0.1</f>
        <v>238.1</v>
      </c>
      <c r="J141" s="7" t="s">
        <v>1146</v>
      </c>
    </row>
    <row r="142" spans="1:10" x14ac:dyDescent="0.35">
      <c r="A142" s="1" t="s">
        <v>181</v>
      </c>
      <c r="B142">
        <v>60</v>
      </c>
      <c r="E142" s="4">
        <f>SUM($F$9:G141)+0.1</f>
        <v>238.1</v>
      </c>
      <c r="J142" s="7" t="s">
        <v>1147</v>
      </c>
    </row>
    <row r="143" spans="1:10" x14ac:dyDescent="0.35">
      <c r="A143" s="1" t="s">
        <v>181</v>
      </c>
      <c r="E143" s="4">
        <f>SUM($F$9:G142)+0.1</f>
        <v>238.1</v>
      </c>
      <c r="J143" s="7" t="s">
        <v>1148</v>
      </c>
    </row>
    <row r="144" spans="1:10" x14ac:dyDescent="0.35">
      <c r="A144" s="1" t="s">
        <v>488</v>
      </c>
      <c r="B144">
        <v>60</v>
      </c>
      <c r="C144" t="s">
        <v>900</v>
      </c>
      <c r="E144" s="4">
        <f>SUM($F$9:G143)+0.1</f>
        <v>238.1</v>
      </c>
      <c r="J144" s="7" t="s">
        <v>1149</v>
      </c>
    </row>
    <row r="145" spans="1:10" x14ac:dyDescent="0.35">
      <c r="A145" s="1" t="s">
        <v>487</v>
      </c>
      <c r="B145">
        <v>60</v>
      </c>
      <c r="C145" t="s">
        <v>900</v>
      </c>
      <c r="E145" s="4">
        <f>SUM($F$9:G144)+0.1</f>
        <v>238.1</v>
      </c>
      <c r="J145" s="7" t="s">
        <v>1150</v>
      </c>
    </row>
    <row r="146" spans="1:10" x14ac:dyDescent="0.35">
      <c r="A146" s="1" t="s">
        <v>486</v>
      </c>
      <c r="B146">
        <v>60</v>
      </c>
      <c r="C146" t="s">
        <v>900</v>
      </c>
      <c r="E146" s="4">
        <f>SUM($F$9:G145)+0.1</f>
        <v>238.1</v>
      </c>
      <c r="J146" s="7" t="s">
        <v>1151</v>
      </c>
    </row>
    <row r="147" spans="1:10" x14ac:dyDescent="0.35">
      <c r="A147" s="1" t="s">
        <v>489</v>
      </c>
      <c r="B147">
        <v>60</v>
      </c>
      <c r="E147" s="4">
        <f>SUM($F$9:G146)+0.1</f>
        <v>238.1</v>
      </c>
      <c r="J147" s="7" t="s">
        <v>1152</v>
      </c>
    </row>
    <row r="148" spans="1:10" x14ac:dyDescent="0.35">
      <c r="A148" s="1" t="s">
        <v>36</v>
      </c>
      <c r="E148" s="4">
        <f>SUM($F$9:G147)+0.1</f>
        <v>238.1</v>
      </c>
      <c r="J148" s="7" t="s">
        <v>1153</v>
      </c>
    </row>
    <row r="149" spans="1:10" x14ac:dyDescent="0.35">
      <c r="A149" s="1" t="s">
        <v>1834</v>
      </c>
      <c r="E149" s="4">
        <f>SUM($F$9:G148)+0.1</f>
        <v>238.1</v>
      </c>
      <c r="J149" s="7" t="s">
        <v>1154</v>
      </c>
    </row>
    <row r="150" spans="1:10" x14ac:dyDescent="0.35">
      <c r="A150" s="1" t="s">
        <v>733</v>
      </c>
      <c r="B150">
        <v>60</v>
      </c>
      <c r="C150" t="s">
        <v>903</v>
      </c>
      <c r="E150" s="4">
        <f>SUM($F$9:G149)+0.1</f>
        <v>238.1</v>
      </c>
      <c r="J150" s="7" t="s">
        <v>1155</v>
      </c>
    </row>
    <row r="151" spans="1:10" x14ac:dyDescent="0.35">
      <c r="A151" s="1" t="s">
        <v>37</v>
      </c>
      <c r="B151">
        <v>60</v>
      </c>
      <c r="E151" s="4">
        <f>SUM($F$9:G150)+0.1</f>
        <v>238.1</v>
      </c>
      <c r="F151">
        <v>1</v>
      </c>
      <c r="J151" s="7" t="s">
        <v>1156</v>
      </c>
    </row>
    <row r="152" spans="1:10" x14ac:dyDescent="0.35">
      <c r="A152" s="1" t="s">
        <v>1853</v>
      </c>
      <c r="E152" s="4">
        <f>SUM($F$9:G151)+0.1</f>
        <v>239.1</v>
      </c>
      <c r="J152" s="7" t="s">
        <v>1157</v>
      </c>
    </row>
    <row r="153" spans="1:10" x14ac:dyDescent="0.35">
      <c r="A153" s="1" t="s">
        <v>171</v>
      </c>
      <c r="B153">
        <v>60</v>
      </c>
      <c r="E153" s="4">
        <f>SUM($F$9:G152)+0.1</f>
        <v>239.1</v>
      </c>
      <c r="J153" s="7" t="s">
        <v>1158</v>
      </c>
    </row>
    <row r="154" spans="1:10" x14ac:dyDescent="0.35">
      <c r="A154" s="1" t="s">
        <v>391</v>
      </c>
      <c r="B154">
        <v>60</v>
      </c>
      <c r="C154">
        <v>1</v>
      </c>
      <c r="E154" s="4">
        <f>SUM($F$9:G153)+0.1</f>
        <v>239.1</v>
      </c>
      <c r="J154" s="7" t="s">
        <v>1159</v>
      </c>
    </row>
    <row r="155" spans="1:10" x14ac:dyDescent="0.35">
      <c r="A155" s="1" t="s">
        <v>558</v>
      </c>
      <c r="B155">
        <v>60</v>
      </c>
      <c r="C155" t="s">
        <v>900</v>
      </c>
      <c r="E155" s="4">
        <f>SUM($F$9:G154)+0.1</f>
        <v>239.1</v>
      </c>
      <c r="J155" s="7" t="s">
        <v>1160</v>
      </c>
    </row>
    <row r="156" spans="1:10" x14ac:dyDescent="0.35">
      <c r="A156" s="1" t="s">
        <v>392</v>
      </c>
      <c r="B156">
        <v>60</v>
      </c>
      <c r="C156" t="s">
        <v>900</v>
      </c>
      <c r="E156" s="4">
        <f>SUM($F$9:G155)+0.1</f>
        <v>239.1</v>
      </c>
      <c r="J156" s="7" t="s">
        <v>1161</v>
      </c>
    </row>
    <row r="157" spans="1:10" x14ac:dyDescent="0.35">
      <c r="A157" s="1" t="s">
        <v>1858</v>
      </c>
      <c r="E157" s="4">
        <f>SUM($F$9:G156)+0.1</f>
        <v>239.1</v>
      </c>
      <c r="J157" s="7" t="s">
        <v>1162</v>
      </c>
    </row>
    <row r="158" spans="1:10" x14ac:dyDescent="0.35">
      <c r="A158" s="1" t="s">
        <v>258</v>
      </c>
      <c r="B158">
        <v>60</v>
      </c>
      <c r="E158" s="4">
        <f>SUM($F$9:G157)+0.1</f>
        <v>239.1</v>
      </c>
      <c r="J158" s="7" t="s">
        <v>1163</v>
      </c>
    </row>
    <row r="159" spans="1:10" x14ac:dyDescent="0.35">
      <c r="A159" s="1" t="s">
        <v>732</v>
      </c>
      <c r="B159">
        <v>60</v>
      </c>
      <c r="E159" s="4">
        <f>SUM($F$9:G158)+0.1</f>
        <v>239.1</v>
      </c>
      <c r="J159" s="7" t="s">
        <v>1164</v>
      </c>
    </row>
    <row r="160" spans="1:10" x14ac:dyDescent="0.35">
      <c r="A160" s="1" t="s">
        <v>393</v>
      </c>
      <c r="B160">
        <v>60</v>
      </c>
      <c r="C160" t="s">
        <v>900</v>
      </c>
      <c r="E160" s="4">
        <f>SUM($F$9:G159)+0.1</f>
        <v>239.1</v>
      </c>
      <c r="J160" s="7" t="s">
        <v>1165</v>
      </c>
    </row>
    <row r="161" spans="1:10" x14ac:dyDescent="0.35">
      <c r="A161" s="1" t="s">
        <v>491</v>
      </c>
      <c r="B161">
        <v>60</v>
      </c>
      <c r="C161" t="s">
        <v>901</v>
      </c>
      <c r="E161" s="4">
        <f>SUM($F$9:G160)+0.1</f>
        <v>239.1</v>
      </c>
      <c r="J161" s="7" t="s">
        <v>1166</v>
      </c>
    </row>
    <row r="162" spans="1:10" x14ac:dyDescent="0.35">
      <c r="A162" s="1" t="s">
        <v>38</v>
      </c>
      <c r="B162">
        <v>60</v>
      </c>
      <c r="E162" s="4">
        <f>SUM($F$9:G161)+0.1</f>
        <v>239.1</v>
      </c>
      <c r="F162">
        <v>1</v>
      </c>
      <c r="J162" s="7" t="s">
        <v>1167</v>
      </c>
    </row>
    <row r="163" spans="1:10" x14ac:dyDescent="0.35">
      <c r="A163" s="1" t="s">
        <v>778</v>
      </c>
      <c r="B163">
        <v>60</v>
      </c>
      <c r="C163" t="s">
        <v>900</v>
      </c>
      <c r="E163" s="4">
        <f>SUM($F$9:G162)+0.1</f>
        <v>240.1</v>
      </c>
      <c r="J163" s="7" t="s">
        <v>1168</v>
      </c>
    </row>
    <row r="164" spans="1:10" x14ac:dyDescent="0.35">
      <c r="A164" s="1" t="s">
        <v>394</v>
      </c>
      <c r="B164">
        <v>60</v>
      </c>
      <c r="E164" s="4">
        <f>SUM($F$9:G163)+0.1</f>
        <v>240.1</v>
      </c>
      <c r="F164">
        <v>2</v>
      </c>
      <c r="J164" s="7" t="s">
        <v>1169</v>
      </c>
    </row>
    <row r="165" spans="1:10" x14ac:dyDescent="0.35">
      <c r="A165" s="1" t="s">
        <v>599</v>
      </c>
      <c r="B165">
        <v>60</v>
      </c>
      <c r="E165" s="4">
        <f>SUM($F$9:G164)+0.1</f>
        <v>242.1</v>
      </c>
      <c r="J165" s="7" t="s">
        <v>1170</v>
      </c>
    </row>
    <row r="166" spans="1:10" x14ac:dyDescent="0.35">
      <c r="A166" s="1" t="s">
        <v>259</v>
      </c>
      <c r="B166">
        <v>60</v>
      </c>
      <c r="C166" t="s">
        <v>903</v>
      </c>
      <c r="E166" s="4">
        <f>SUM($F$9:G165)+0.1</f>
        <v>242.1</v>
      </c>
      <c r="J166" s="7" t="s">
        <v>1171</v>
      </c>
    </row>
    <row r="167" spans="1:10" x14ac:dyDescent="0.35">
      <c r="A167" s="1" t="s">
        <v>260</v>
      </c>
      <c r="B167">
        <v>60</v>
      </c>
      <c r="C167" t="s">
        <v>900</v>
      </c>
      <c r="E167" s="4">
        <f>SUM($F$9:G166)+0.1</f>
        <v>242.1</v>
      </c>
      <c r="J167" s="7" t="s">
        <v>1172</v>
      </c>
    </row>
    <row r="168" spans="1:10" x14ac:dyDescent="0.35">
      <c r="A168" s="1" t="s">
        <v>600</v>
      </c>
      <c r="B168">
        <v>60</v>
      </c>
      <c r="E168" s="4">
        <f>SUM($F$9:G167)+0.1</f>
        <v>242.1</v>
      </c>
      <c r="F168">
        <v>1</v>
      </c>
      <c r="J168" s="7" t="s">
        <v>1173</v>
      </c>
    </row>
    <row r="169" spans="1:10" x14ac:dyDescent="0.35">
      <c r="A169" s="1" t="s">
        <v>1839</v>
      </c>
      <c r="E169" s="4">
        <f>SUM($F$9:G168)+0.1</f>
        <v>243.1</v>
      </c>
      <c r="J169" s="7" t="s">
        <v>1174</v>
      </c>
    </row>
    <row r="170" spans="1:10" x14ac:dyDescent="0.35">
      <c r="A170" s="1" t="s">
        <v>669</v>
      </c>
      <c r="B170">
        <v>60</v>
      </c>
      <c r="E170" s="4">
        <f>SUM($F$9:G169)+0.1</f>
        <v>243.1</v>
      </c>
      <c r="J170" s="7" t="s">
        <v>1175</v>
      </c>
    </row>
    <row r="171" spans="1:10" x14ac:dyDescent="0.35">
      <c r="A171" s="1" t="s">
        <v>40</v>
      </c>
      <c r="B171">
        <v>60</v>
      </c>
      <c r="E171" s="4">
        <f>SUM($F$9:G170)+0.1</f>
        <v>243.1</v>
      </c>
      <c r="J171" s="7" t="s">
        <v>1176</v>
      </c>
    </row>
    <row r="172" spans="1:10" x14ac:dyDescent="0.35">
      <c r="A172" s="1" t="s">
        <v>261</v>
      </c>
      <c r="B172">
        <v>60</v>
      </c>
      <c r="C172" t="s">
        <v>900</v>
      </c>
      <c r="E172" s="4">
        <f>SUM($F$9:G171)+0.1</f>
        <v>243.1</v>
      </c>
      <c r="J172" s="7" t="s">
        <v>1177</v>
      </c>
    </row>
    <row r="173" spans="1:10" x14ac:dyDescent="0.35">
      <c r="A173" s="1" t="s">
        <v>492</v>
      </c>
      <c r="B173">
        <v>60</v>
      </c>
      <c r="C173" t="s">
        <v>901</v>
      </c>
      <c r="E173" s="4">
        <f>SUM($F$9:G172)+0.1</f>
        <v>243.1</v>
      </c>
      <c r="J173" s="7" t="s">
        <v>1178</v>
      </c>
    </row>
    <row r="174" spans="1:10" x14ac:dyDescent="0.35">
      <c r="A174" s="1" t="s">
        <v>1857</v>
      </c>
      <c r="E174" s="4">
        <f>SUM($F$9:G173)+0.1</f>
        <v>243.1</v>
      </c>
      <c r="J174" s="7" t="s">
        <v>1179</v>
      </c>
    </row>
    <row r="175" spans="1:10" x14ac:dyDescent="0.35">
      <c r="A175" s="1" t="s">
        <v>41</v>
      </c>
      <c r="B175">
        <v>60</v>
      </c>
      <c r="E175" s="4">
        <f>SUM($F$9:G174)+0.1</f>
        <v>243.1</v>
      </c>
      <c r="J175" s="7" t="s">
        <v>1180</v>
      </c>
    </row>
    <row r="176" spans="1:10" x14ac:dyDescent="0.35">
      <c r="A176" s="1" t="s">
        <v>847</v>
      </c>
      <c r="B176">
        <v>60</v>
      </c>
      <c r="C176" t="s">
        <v>903</v>
      </c>
      <c r="E176" s="4">
        <f>SUM($F$9:G175)+0.1</f>
        <v>243.1</v>
      </c>
      <c r="J176" s="7" t="s">
        <v>1181</v>
      </c>
    </row>
    <row r="177" spans="1:10" x14ac:dyDescent="0.35">
      <c r="A177" s="1" t="s">
        <v>262</v>
      </c>
      <c r="B177">
        <v>60</v>
      </c>
      <c r="C177" t="s">
        <v>901</v>
      </c>
      <c r="E177" s="4">
        <f>SUM($F$9:G176)+0.1</f>
        <v>243.1</v>
      </c>
      <c r="J177" s="7" t="s">
        <v>1182</v>
      </c>
    </row>
    <row r="178" spans="1:10" x14ac:dyDescent="0.35">
      <c r="A178" s="1" t="s">
        <v>557</v>
      </c>
      <c r="B178">
        <v>60</v>
      </c>
      <c r="C178" t="s">
        <v>901</v>
      </c>
      <c r="E178" s="4">
        <f>SUM($F$9:G177)+0.1</f>
        <v>243.1</v>
      </c>
      <c r="F178">
        <v>5</v>
      </c>
      <c r="J178" s="7" t="s">
        <v>1183</v>
      </c>
    </row>
    <row r="179" spans="1:10" x14ac:dyDescent="0.35">
      <c r="A179" s="1" t="s">
        <v>798</v>
      </c>
      <c r="B179">
        <v>60</v>
      </c>
      <c r="E179" s="4">
        <f>SUM($F$9:G178)+0.1</f>
        <v>248.1</v>
      </c>
      <c r="J179" s="7" t="s">
        <v>1184</v>
      </c>
    </row>
    <row r="180" spans="1:10" x14ac:dyDescent="0.35">
      <c r="A180" s="1" t="s">
        <v>670</v>
      </c>
      <c r="B180">
        <v>60</v>
      </c>
      <c r="C180" t="s">
        <v>900</v>
      </c>
      <c r="E180" s="4">
        <f>SUM($F$9:G179)+0.1</f>
        <v>248.1</v>
      </c>
      <c r="J180" s="7" t="s">
        <v>1185</v>
      </c>
    </row>
    <row r="181" spans="1:10" x14ac:dyDescent="0.35">
      <c r="A181" s="1" t="s">
        <v>779</v>
      </c>
      <c r="B181">
        <v>60</v>
      </c>
      <c r="C181" t="s">
        <v>901</v>
      </c>
      <c r="E181" s="4">
        <f>SUM($F$9:G180)+0.1</f>
        <v>248.1</v>
      </c>
      <c r="J181" s="7" t="s">
        <v>1186</v>
      </c>
    </row>
    <row r="182" spans="1:10" x14ac:dyDescent="0.35">
      <c r="A182" s="1" t="s">
        <v>395</v>
      </c>
      <c r="B182">
        <v>60</v>
      </c>
      <c r="C182" t="s">
        <v>901</v>
      </c>
      <c r="E182" s="4">
        <f>SUM($F$9:G181)+0.1</f>
        <v>248.1</v>
      </c>
      <c r="J182" s="7" t="s">
        <v>1187</v>
      </c>
    </row>
    <row r="183" spans="1:10" x14ac:dyDescent="0.35">
      <c r="A183" s="1" t="s">
        <v>601</v>
      </c>
      <c r="B183">
        <v>60</v>
      </c>
      <c r="C183" t="s">
        <v>903</v>
      </c>
      <c r="E183" s="4">
        <f>SUM($F$9:G182)+0.1</f>
        <v>248.1</v>
      </c>
      <c r="J183" s="7" t="s">
        <v>1188</v>
      </c>
    </row>
    <row r="184" spans="1:10" x14ac:dyDescent="0.35">
      <c r="A184" s="1" t="s">
        <v>493</v>
      </c>
      <c r="B184">
        <v>60</v>
      </c>
      <c r="E184" s="4">
        <f>SUM($F$9:G183)+0.1</f>
        <v>248.1</v>
      </c>
      <c r="J184" s="7" t="s">
        <v>1189</v>
      </c>
    </row>
    <row r="185" spans="1:10" x14ac:dyDescent="0.35">
      <c r="A185" s="1" t="s">
        <v>494</v>
      </c>
      <c r="B185">
        <v>60</v>
      </c>
      <c r="E185" s="4">
        <f>SUM($F$9:G184)+0.1</f>
        <v>248.1</v>
      </c>
      <c r="J185" s="7" t="s">
        <v>1190</v>
      </c>
    </row>
    <row r="186" spans="1:10" x14ac:dyDescent="0.35">
      <c r="A186" s="1" t="s">
        <v>833</v>
      </c>
      <c r="B186">
        <v>60</v>
      </c>
      <c r="C186">
        <v>1</v>
      </c>
      <c r="E186" s="4">
        <f>SUM($F$9:G185)+0.1</f>
        <v>248.1</v>
      </c>
      <c r="J186" s="7" t="s">
        <v>1191</v>
      </c>
    </row>
    <row r="187" spans="1:10" x14ac:dyDescent="0.35">
      <c r="A187" s="1" t="s">
        <v>397</v>
      </c>
      <c r="B187">
        <v>60</v>
      </c>
      <c r="C187" t="s">
        <v>901</v>
      </c>
      <c r="E187" s="4">
        <f>SUM($F$9:G186)+0.1</f>
        <v>248.1</v>
      </c>
      <c r="F187">
        <v>2</v>
      </c>
      <c r="J187" s="7" t="s">
        <v>1192</v>
      </c>
    </row>
    <row r="188" spans="1:10" x14ac:dyDescent="0.35">
      <c r="A188" s="1" t="s">
        <v>642</v>
      </c>
      <c r="B188">
        <v>60</v>
      </c>
      <c r="C188" t="s">
        <v>901</v>
      </c>
      <c r="E188" s="4">
        <f>SUM($F$9:G187)+0.1</f>
        <v>250.1</v>
      </c>
      <c r="J188" s="7" t="s">
        <v>1193</v>
      </c>
    </row>
    <row r="189" spans="1:10" x14ac:dyDescent="0.35">
      <c r="A189" s="1" t="s">
        <v>43</v>
      </c>
      <c r="B189">
        <v>60</v>
      </c>
      <c r="E189" s="4">
        <f>SUM($F$9:G188)+0.1</f>
        <v>250.1</v>
      </c>
      <c r="J189" s="7" t="s">
        <v>1194</v>
      </c>
    </row>
    <row r="190" spans="1:10" x14ac:dyDescent="0.35">
      <c r="A190" s="1" t="s">
        <v>207</v>
      </c>
      <c r="B190">
        <v>60</v>
      </c>
      <c r="C190" t="s">
        <v>901</v>
      </c>
      <c r="E190" s="4">
        <f>SUM($F$9:G189)+0.1</f>
        <v>250.1</v>
      </c>
      <c r="J190" s="7" t="s">
        <v>1195</v>
      </c>
    </row>
    <row r="191" spans="1:10" x14ac:dyDescent="0.35">
      <c r="A191" s="1" t="s">
        <v>44</v>
      </c>
      <c r="B191">
        <v>60</v>
      </c>
      <c r="C191" t="s">
        <v>901</v>
      </c>
      <c r="E191" s="4">
        <f>SUM($F$9:G190)+0.1</f>
        <v>250.1</v>
      </c>
      <c r="F191">
        <v>1</v>
      </c>
      <c r="J191" s="7" t="s">
        <v>1196</v>
      </c>
    </row>
    <row r="192" spans="1:10" x14ac:dyDescent="0.35">
      <c r="A192" s="1" t="s">
        <v>45</v>
      </c>
      <c r="B192">
        <v>60</v>
      </c>
      <c r="C192" t="s">
        <v>900</v>
      </c>
      <c r="E192" s="4">
        <f>SUM($F$9:G191)+0.1</f>
        <v>251.1</v>
      </c>
      <c r="J192" s="7" t="s">
        <v>1197</v>
      </c>
    </row>
    <row r="193" spans="1:10" x14ac:dyDescent="0.35">
      <c r="A193" s="1" t="s">
        <v>671</v>
      </c>
      <c r="B193">
        <v>60</v>
      </c>
      <c r="E193" s="4">
        <f>SUM($F$9:G192)+0.1</f>
        <v>251.1</v>
      </c>
      <c r="J193" s="7" t="s">
        <v>1198</v>
      </c>
    </row>
    <row r="194" spans="1:10" x14ac:dyDescent="0.35">
      <c r="A194" s="1" t="s">
        <v>191</v>
      </c>
      <c r="B194">
        <v>60</v>
      </c>
      <c r="E194" s="4">
        <f>SUM($F$9:G193)+0.1</f>
        <v>251.1</v>
      </c>
      <c r="F194">
        <v>4</v>
      </c>
      <c r="J194" s="7" t="s">
        <v>1199</v>
      </c>
    </row>
    <row r="195" spans="1:10" x14ac:dyDescent="0.35">
      <c r="A195" s="1" t="s">
        <v>263</v>
      </c>
      <c r="B195">
        <v>60</v>
      </c>
      <c r="C195" t="s">
        <v>900</v>
      </c>
      <c r="E195" s="4">
        <f>SUM($F$9:G194)+0.1</f>
        <v>255.1</v>
      </c>
      <c r="J195" s="7" t="s">
        <v>1200</v>
      </c>
    </row>
    <row r="196" spans="1:10" x14ac:dyDescent="0.35">
      <c r="A196" s="1" t="s">
        <v>560</v>
      </c>
      <c r="B196">
        <v>60</v>
      </c>
      <c r="E196" s="4">
        <f>SUM($F$9:G195)+0.1</f>
        <v>255.1</v>
      </c>
      <c r="J196" s="7" t="s">
        <v>1201</v>
      </c>
    </row>
    <row r="197" spans="1:10" x14ac:dyDescent="0.35">
      <c r="A197" s="1" t="s">
        <v>46</v>
      </c>
      <c r="B197">
        <v>60</v>
      </c>
      <c r="E197" s="4">
        <f>SUM($F$9:G196)+0.1</f>
        <v>255.1</v>
      </c>
      <c r="F197">
        <v>12</v>
      </c>
      <c r="J197" s="7" t="s">
        <v>1202</v>
      </c>
    </row>
    <row r="198" spans="1:10" x14ac:dyDescent="0.35">
      <c r="A198" s="1" t="s">
        <v>398</v>
      </c>
      <c r="B198">
        <v>60</v>
      </c>
      <c r="C198" t="s">
        <v>901</v>
      </c>
      <c r="E198" s="4">
        <f>SUM($F$9:G197)+0.1</f>
        <v>267.10000000000002</v>
      </c>
      <c r="J198" s="7" t="s">
        <v>1203</v>
      </c>
    </row>
    <row r="199" spans="1:10" x14ac:dyDescent="0.35">
      <c r="A199" s="1" t="s">
        <v>672</v>
      </c>
      <c r="B199">
        <v>60</v>
      </c>
      <c r="E199" s="4">
        <f>SUM($F$9:G198)+0.1</f>
        <v>267.10000000000002</v>
      </c>
      <c r="J199" s="7" t="s">
        <v>1204</v>
      </c>
    </row>
    <row r="200" spans="1:10" x14ac:dyDescent="0.35">
      <c r="A200" s="1" t="s">
        <v>183</v>
      </c>
      <c r="B200">
        <v>60</v>
      </c>
      <c r="E200" s="4">
        <f>SUM($F$9:G199)+0.1</f>
        <v>267.10000000000002</v>
      </c>
      <c r="J200" s="7" t="s">
        <v>1205</v>
      </c>
    </row>
    <row r="201" spans="1:10" x14ac:dyDescent="0.35">
      <c r="A201" s="1" t="s">
        <v>496</v>
      </c>
      <c r="B201">
        <v>60</v>
      </c>
      <c r="C201" t="s">
        <v>900</v>
      </c>
      <c r="E201" s="4">
        <f>SUM($F$9:G200)+0.1</f>
        <v>267.10000000000002</v>
      </c>
      <c r="J201" s="7" t="s">
        <v>1206</v>
      </c>
    </row>
    <row r="202" spans="1:10" x14ac:dyDescent="0.35">
      <c r="A202" s="1" t="s">
        <v>265</v>
      </c>
      <c r="B202">
        <v>60</v>
      </c>
      <c r="C202" t="s">
        <v>900</v>
      </c>
      <c r="E202" s="4">
        <f>SUM($F$9:G201)+0.1</f>
        <v>267.10000000000002</v>
      </c>
      <c r="J202" s="7" t="s">
        <v>1207</v>
      </c>
    </row>
    <row r="203" spans="1:10" x14ac:dyDescent="0.35">
      <c r="A203" s="1" t="s">
        <v>602</v>
      </c>
      <c r="B203">
        <v>60</v>
      </c>
      <c r="D203" t="s">
        <v>908</v>
      </c>
      <c r="E203" s="4">
        <f>SUM($F$9:G202)+0.1</f>
        <v>267.10000000000002</v>
      </c>
      <c r="J203" s="9" t="s">
        <v>1208</v>
      </c>
    </row>
    <row r="204" spans="1:10" x14ac:dyDescent="0.35">
      <c r="A204" s="1" t="s">
        <v>603</v>
      </c>
      <c r="B204">
        <v>60</v>
      </c>
      <c r="C204" t="s">
        <v>901</v>
      </c>
      <c r="E204" s="4">
        <f>SUM($F$9:G203)+0.1</f>
        <v>267.10000000000002</v>
      </c>
      <c r="J204" s="7" t="s">
        <v>1209</v>
      </c>
    </row>
    <row r="205" spans="1:10" x14ac:dyDescent="0.35">
      <c r="A205" s="1" t="s">
        <v>266</v>
      </c>
      <c r="B205">
        <v>60</v>
      </c>
      <c r="C205" t="s">
        <v>900</v>
      </c>
      <c r="E205" s="4">
        <f>SUM($F$9:G204)+0.1</f>
        <v>267.10000000000002</v>
      </c>
      <c r="J205" s="7" t="s">
        <v>1210</v>
      </c>
    </row>
    <row r="206" spans="1:10" x14ac:dyDescent="0.35">
      <c r="A206" s="1" t="s">
        <v>497</v>
      </c>
      <c r="B206">
        <v>60</v>
      </c>
      <c r="E206" s="4">
        <f>SUM($F$9:G205)+0.1</f>
        <v>267.10000000000002</v>
      </c>
      <c r="J206" s="7" t="s">
        <v>1211</v>
      </c>
    </row>
    <row r="207" spans="1:10" x14ac:dyDescent="0.35">
      <c r="A207" s="1" t="s">
        <v>1848</v>
      </c>
      <c r="E207" s="4">
        <f>SUM($F$9:G206)+0.1</f>
        <v>267.10000000000002</v>
      </c>
      <c r="J207" s="7" t="s">
        <v>1212</v>
      </c>
    </row>
    <row r="208" spans="1:10" x14ac:dyDescent="0.35">
      <c r="A208" s="1" t="s">
        <v>800</v>
      </c>
      <c r="B208">
        <v>60</v>
      </c>
      <c r="C208" t="s">
        <v>901</v>
      </c>
      <c r="E208" s="4">
        <f>SUM($F$9:G207)+0.1</f>
        <v>267.10000000000002</v>
      </c>
      <c r="J208" s="9" t="s">
        <v>1213</v>
      </c>
    </row>
    <row r="209" spans="1:10" x14ac:dyDescent="0.35">
      <c r="A209" s="1" t="s">
        <v>47</v>
      </c>
      <c r="E209" s="4">
        <f>SUM($F$9:G208)+0.1</f>
        <v>267.10000000000002</v>
      </c>
      <c r="J209" s="7" t="s">
        <v>1214</v>
      </c>
    </row>
    <row r="210" spans="1:10" x14ac:dyDescent="0.35">
      <c r="A210" s="1" t="s">
        <v>498</v>
      </c>
      <c r="B210">
        <v>60</v>
      </c>
      <c r="C210" t="s">
        <v>901</v>
      </c>
      <c r="E210" s="4">
        <f>SUM($F$9:G209)+0.1</f>
        <v>267.10000000000002</v>
      </c>
      <c r="J210" s="7" t="s">
        <v>1215</v>
      </c>
    </row>
    <row r="211" spans="1:10" x14ac:dyDescent="0.35">
      <c r="A211" s="1" t="s">
        <v>48</v>
      </c>
      <c r="B211">
        <v>60</v>
      </c>
      <c r="E211" s="4">
        <f>SUM($F$9:G210)+0.1</f>
        <v>267.10000000000002</v>
      </c>
      <c r="F211">
        <v>2</v>
      </c>
      <c r="J211" s="7" t="s">
        <v>1216</v>
      </c>
    </row>
    <row r="212" spans="1:10" x14ac:dyDescent="0.35">
      <c r="A212" s="1" t="s">
        <v>268</v>
      </c>
      <c r="B212">
        <v>60</v>
      </c>
      <c r="C212" t="s">
        <v>900</v>
      </c>
      <c r="E212" s="4">
        <f>SUM($F$9:G211)+0.1</f>
        <v>269.10000000000002</v>
      </c>
      <c r="J212" s="7" t="s">
        <v>1217</v>
      </c>
    </row>
    <row r="213" spans="1:10" x14ac:dyDescent="0.35">
      <c r="A213" s="1" t="s">
        <v>801</v>
      </c>
      <c r="B213">
        <v>60</v>
      </c>
      <c r="E213" s="4">
        <f>SUM($F$9:G212)+0.1</f>
        <v>269.10000000000002</v>
      </c>
      <c r="F213">
        <v>5</v>
      </c>
      <c r="J213" s="9" t="s">
        <v>1218</v>
      </c>
    </row>
    <row r="214" spans="1:10" x14ac:dyDescent="0.35">
      <c r="A214" s="1" t="s">
        <v>499</v>
      </c>
      <c r="B214">
        <v>60</v>
      </c>
      <c r="E214" s="4">
        <f>SUM($F$9:G213)+0.1</f>
        <v>274.10000000000002</v>
      </c>
      <c r="J214" s="7" t="s">
        <v>1219</v>
      </c>
    </row>
    <row r="215" spans="1:10" x14ac:dyDescent="0.35">
      <c r="A215" s="1" t="s">
        <v>500</v>
      </c>
      <c r="B215">
        <v>60</v>
      </c>
      <c r="C215" t="s">
        <v>901</v>
      </c>
      <c r="E215" s="4">
        <f>SUM($F$9:G214)+0.1</f>
        <v>274.10000000000002</v>
      </c>
      <c r="J215" s="7" t="s">
        <v>1220</v>
      </c>
    </row>
    <row r="216" spans="1:10" x14ac:dyDescent="0.35">
      <c r="A216" s="1" t="s">
        <v>802</v>
      </c>
      <c r="B216">
        <v>60</v>
      </c>
      <c r="E216" s="4">
        <f>SUM($F$9:G215)+0.1</f>
        <v>274.10000000000002</v>
      </c>
      <c r="J216" s="7" t="s">
        <v>1221</v>
      </c>
    </row>
    <row r="217" spans="1:10" x14ac:dyDescent="0.35">
      <c r="A217" s="1" t="s">
        <v>501</v>
      </c>
      <c r="B217">
        <v>60</v>
      </c>
      <c r="C217">
        <v>1</v>
      </c>
      <c r="E217" s="4">
        <f>SUM($F$9:G216)+0.1</f>
        <v>274.10000000000002</v>
      </c>
      <c r="F217">
        <v>2</v>
      </c>
      <c r="J217" s="7" t="s">
        <v>1222</v>
      </c>
    </row>
    <row r="218" spans="1:10" x14ac:dyDescent="0.35">
      <c r="A218" s="1" t="s">
        <v>54</v>
      </c>
      <c r="B218">
        <v>60</v>
      </c>
      <c r="E218" s="4">
        <f>SUM($F$9:G217)+0.1</f>
        <v>276.10000000000002</v>
      </c>
      <c r="J218" s="9" t="s">
        <v>1223</v>
      </c>
    </row>
    <row r="219" spans="1:10" x14ac:dyDescent="0.35">
      <c r="A219" s="1" t="s">
        <v>675</v>
      </c>
      <c r="B219">
        <v>60</v>
      </c>
      <c r="E219" s="4">
        <f>SUM($F$9:G218)+0.1</f>
        <v>276.10000000000002</v>
      </c>
      <c r="J219" s="7" t="s">
        <v>1224</v>
      </c>
    </row>
    <row r="220" spans="1:10" x14ac:dyDescent="0.35">
      <c r="A220" s="1" t="s">
        <v>172</v>
      </c>
      <c r="B220">
        <v>60</v>
      </c>
      <c r="E220" s="4">
        <f>SUM($F$9:G219)+0.1</f>
        <v>276.10000000000002</v>
      </c>
      <c r="F220">
        <v>5</v>
      </c>
      <c r="J220" s="7" t="s">
        <v>1225</v>
      </c>
    </row>
    <row r="221" spans="1:10" x14ac:dyDescent="0.35">
      <c r="A221" s="1" t="s">
        <v>270</v>
      </c>
      <c r="B221">
        <v>60</v>
      </c>
      <c r="E221" s="4">
        <f>SUM($F$9:G220)+0.1</f>
        <v>281.10000000000002</v>
      </c>
      <c r="J221" s="7" t="s">
        <v>1226</v>
      </c>
    </row>
    <row r="222" spans="1:10" x14ac:dyDescent="0.35">
      <c r="A222" s="1" t="s">
        <v>561</v>
      </c>
      <c r="B222">
        <v>60</v>
      </c>
      <c r="C222" t="s">
        <v>901</v>
      </c>
      <c r="D222" t="s">
        <v>902</v>
      </c>
      <c r="E222" s="4">
        <f>SUM($F$9:G221)+0.1</f>
        <v>281.10000000000002</v>
      </c>
      <c r="J222" s="9" t="s">
        <v>1227</v>
      </c>
    </row>
    <row r="223" spans="1:10" x14ac:dyDescent="0.35">
      <c r="A223" s="1" t="s">
        <v>503</v>
      </c>
      <c r="B223">
        <v>60</v>
      </c>
      <c r="E223" s="4">
        <f>SUM($F$9:G222)+0.1</f>
        <v>281.10000000000002</v>
      </c>
      <c r="J223" s="7" t="s">
        <v>1228</v>
      </c>
    </row>
    <row r="224" spans="1:10" x14ac:dyDescent="0.35">
      <c r="A224" s="1" t="s">
        <v>605</v>
      </c>
      <c r="B224">
        <v>60</v>
      </c>
      <c r="E224" s="4">
        <f>SUM($F$9:G223)+0.1</f>
        <v>281.10000000000002</v>
      </c>
      <c r="J224" s="7" t="s">
        <v>1229</v>
      </c>
    </row>
    <row r="225" spans="1:10" x14ac:dyDescent="0.35">
      <c r="A225" s="1" t="s">
        <v>202</v>
      </c>
      <c r="B225">
        <v>60</v>
      </c>
      <c r="E225" s="4">
        <f>SUM($F$9:G224)+0.1</f>
        <v>281.10000000000002</v>
      </c>
      <c r="J225" s="7" t="s">
        <v>1230</v>
      </c>
    </row>
    <row r="226" spans="1:10" x14ac:dyDescent="0.35">
      <c r="A226" s="1" t="s">
        <v>676</v>
      </c>
      <c r="B226">
        <v>60</v>
      </c>
      <c r="C226" t="s">
        <v>901</v>
      </c>
      <c r="E226" s="4">
        <f>SUM($F$9:G225)+0.1</f>
        <v>281.10000000000002</v>
      </c>
      <c r="J226" s="7" t="s">
        <v>1231</v>
      </c>
    </row>
    <row r="227" spans="1:10" x14ac:dyDescent="0.35">
      <c r="A227" s="12" t="s">
        <v>56</v>
      </c>
      <c r="B227">
        <v>60</v>
      </c>
      <c r="C227" t="s">
        <v>903</v>
      </c>
      <c r="E227" s="4">
        <f>SUM($F$9:G226)+0.1</f>
        <v>281.10000000000002</v>
      </c>
      <c r="F227">
        <v>15</v>
      </c>
      <c r="J227" s="9" t="s">
        <v>1232</v>
      </c>
    </row>
    <row r="228" spans="1:10" x14ac:dyDescent="0.35">
      <c r="A228" s="1" t="s">
        <v>909</v>
      </c>
      <c r="B228">
        <v>60</v>
      </c>
      <c r="E228" s="4">
        <f>SUM($F$9:G227)+0.1</f>
        <v>296.10000000000002</v>
      </c>
      <c r="F228">
        <v>5</v>
      </c>
      <c r="J228" s="7" t="s">
        <v>1233</v>
      </c>
    </row>
    <row r="229" spans="1:10" x14ac:dyDescent="0.35">
      <c r="A229" s="1" t="s">
        <v>678</v>
      </c>
      <c r="B229">
        <v>60</v>
      </c>
      <c r="C229" t="s">
        <v>900</v>
      </c>
      <c r="E229" s="4">
        <f>SUM($F$9:G228)+0.1</f>
        <v>301.10000000000002</v>
      </c>
      <c r="J229" s="7" t="s">
        <v>1234</v>
      </c>
    </row>
    <row r="230" spans="1:10" x14ac:dyDescent="0.35">
      <c r="A230" s="1" t="s">
        <v>399</v>
      </c>
      <c r="B230">
        <v>60</v>
      </c>
      <c r="E230" s="4">
        <f>SUM($F$9:G229)+0.1</f>
        <v>301.10000000000002</v>
      </c>
      <c r="J230" s="7" t="s">
        <v>1235</v>
      </c>
    </row>
    <row r="231" spans="1:10" x14ac:dyDescent="0.35">
      <c r="A231" s="1" t="s">
        <v>562</v>
      </c>
      <c r="B231">
        <v>60</v>
      </c>
      <c r="E231" s="4">
        <f>SUM($F$9:G230)+0.1</f>
        <v>301.10000000000002</v>
      </c>
      <c r="J231" s="7" t="s">
        <v>1236</v>
      </c>
    </row>
    <row r="232" spans="1:10" x14ac:dyDescent="0.35">
      <c r="A232" s="1" t="s">
        <v>734</v>
      </c>
      <c r="B232">
        <v>60</v>
      </c>
      <c r="E232" s="4">
        <f>SUM($F$9:G231)+0.1</f>
        <v>301.10000000000002</v>
      </c>
      <c r="J232" s="7" t="s">
        <v>1237</v>
      </c>
    </row>
    <row r="233" spans="1:10" x14ac:dyDescent="0.35">
      <c r="A233" s="1" t="s">
        <v>271</v>
      </c>
      <c r="B233">
        <v>60</v>
      </c>
      <c r="E233" s="4">
        <f>SUM($F$9:G232)+0.1</f>
        <v>301.10000000000002</v>
      </c>
      <c r="J233" s="7" t="s">
        <v>1238</v>
      </c>
    </row>
    <row r="234" spans="1:10" x14ac:dyDescent="0.35">
      <c r="A234" s="1" t="s">
        <v>1835</v>
      </c>
      <c r="E234" s="4">
        <f>SUM($F$9:G233)+0.1</f>
        <v>301.10000000000002</v>
      </c>
      <c r="J234" s="7" t="s">
        <v>1239</v>
      </c>
    </row>
    <row r="235" spans="1:10" x14ac:dyDescent="0.35">
      <c r="A235" s="1" t="s">
        <v>504</v>
      </c>
      <c r="B235">
        <v>60</v>
      </c>
      <c r="E235" s="4">
        <f>SUM($F$9:G234)+0.1</f>
        <v>301.10000000000002</v>
      </c>
      <c r="J235" s="7" t="s">
        <v>1240</v>
      </c>
    </row>
    <row r="236" spans="1:10" x14ac:dyDescent="0.35">
      <c r="A236" s="1" t="s">
        <v>273</v>
      </c>
      <c r="B236">
        <v>60</v>
      </c>
      <c r="C236">
        <v>1</v>
      </c>
      <c r="E236" s="4">
        <f>SUM($F$9:G235)+0.1</f>
        <v>301.10000000000002</v>
      </c>
      <c r="J236" s="7" t="s">
        <v>1241</v>
      </c>
    </row>
    <row r="237" spans="1:10" x14ac:dyDescent="0.35">
      <c r="A237" s="1" t="s">
        <v>606</v>
      </c>
      <c r="B237">
        <v>60</v>
      </c>
      <c r="E237" s="4">
        <f>SUM($F$9:G236)+0.1</f>
        <v>301.10000000000002</v>
      </c>
      <c r="J237" s="7" t="s">
        <v>1242</v>
      </c>
    </row>
    <row r="238" spans="1:10" x14ac:dyDescent="0.35">
      <c r="A238" s="1" t="s">
        <v>680</v>
      </c>
      <c r="B238">
        <v>60</v>
      </c>
      <c r="E238" s="4">
        <f>SUM($F$9:G237)+0.1</f>
        <v>301.10000000000002</v>
      </c>
      <c r="J238" s="7" t="s">
        <v>1243</v>
      </c>
    </row>
    <row r="239" spans="1:10" x14ac:dyDescent="0.35">
      <c r="A239" s="1" t="s">
        <v>681</v>
      </c>
      <c r="B239">
        <v>60</v>
      </c>
      <c r="E239" s="4">
        <f>SUM($F$9:G238)+0.1</f>
        <v>301.10000000000002</v>
      </c>
      <c r="J239" s="7" t="s">
        <v>1244</v>
      </c>
    </row>
    <row r="240" spans="1:10" x14ac:dyDescent="0.35">
      <c r="A240" s="1" t="s">
        <v>564</v>
      </c>
      <c r="B240">
        <v>60</v>
      </c>
      <c r="E240" s="4">
        <f>SUM($F$9:G239)+0.1</f>
        <v>301.10000000000002</v>
      </c>
      <c r="J240" s="7" t="s">
        <v>1245</v>
      </c>
    </row>
    <row r="241" spans="1:10" x14ac:dyDescent="0.35">
      <c r="A241" s="1" t="s">
        <v>886</v>
      </c>
      <c r="B241">
        <v>60</v>
      </c>
      <c r="D241" t="s">
        <v>884</v>
      </c>
      <c r="E241" s="4">
        <f>SUM($F$9:G240)+0.1</f>
        <v>301.10000000000002</v>
      </c>
      <c r="J241" s="7" t="s">
        <v>1246</v>
      </c>
    </row>
    <row r="242" spans="1:10" x14ac:dyDescent="0.35">
      <c r="A242" s="1" t="s">
        <v>156</v>
      </c>
      <c r="B242">
        <v>60</v>
      </c>
      <c r="E242" s="4">
        <f>SUM($F$9:G241)+0.1</f>
        <v>301.10000000000002</v>
      </c>
      <c r="J242" s="7" t="s">
        <v>1247</v>
      </c>
    </row>
    <row r="243" spans="1:10" x14ac:dyDescent="0.35">
      <c r="A243" s="1" t="s">
        <v>566</v>
      </c>
      <c r="B243">
        <v>60</v>
      </c>
      <c r="E243" s="4">
        <f>SUM($F$9:G242)+0.1</f>
        <v>301.10000000000002</v>
      </c>
      <c r="J243" s="7" t="s">
        <v>1248</v>
      </c>
    </row>
    <row r="244" spans="1:10" x14ac:dyDescent="0.35">
      <c r="A244" s="1" t="s">
        <v>885</v>
      </c>
      <c r="B244">
        <v>60</v>
      </c>
      <c r="E244" s="4">
        <f>SUM($F$9:G243)+0.1</f>
        <v>301.10000000000002</v>
      </c>
      <c r="J244" s="7" t="s">
        <v>1249</v>
      </c>
    </row>
    <row r="245" spans="1:10" x14ac:dyDescent="0.35">
      <c r="A245" s="1" t="s">
        <v>683</v>
      </c>
      <c r="B245">
        <v>60</v>
      </c>
      <c r="E245" s="4">
        <f>SUM($F$9:G244)+0.1</f>
        <v>301.10000000000002</v>
      </c>
      <c r="J245" s="7" t="s">
        <v>1250</v>
      </c>
    </row>
    <row r="246" spans="1:10" x14ac:dyDescent="0.35">
      <c r="A246" s="1" t="s">
        <v>682</v>
      </c>
      <c r="B246">
        <v>60</v>
      </c>
      <c r="E246" s="4">
        <f>SUM($F$9:G245)+0.1</f>
        <v>301.10000000000002</v>
      </c>
      <c r="J246" s="7" t="s">
        <v>1251</v>
      </c>
    </row>
    <row r="247" spans="1:10" x14ac:dyDescent="0.35">
      <c r="A247" s="1" t="s">
        <v>565</v>
      </c>
      <c r="B247">
        <v>60</v>
      </c>
      <c r="E247" s="4">
        <f>SUM($F$9:G246)+0.1</f>
        <v>301.10000000000002</v>
      </c>
      <c r="F247">
        <v>3</v>
      </c>
      <c r="J247" s="7" t="s">
        <v>1252</v>
      </c>
    </row>
    <row r="248" spans="1:10" x14ac:dyDescent="0.35">
      <c r="A248" s="1" t="s">
        <v>505</v>
      </c>
      <c r="B248">
        <v>60</v>
      </c>
      <c r="E248" s="4">
        <f>SUM($F$9:G247)+0.1</f>
        <v>304.10000000000002</v>
      </c>
      <c r="J248" s="7" t="s">
        <v>1253</v>
      </c>
    </row>
    <row r="249" spans="1:10" x14ac:dyDescent="0.35">
      <c r="A249" s="1" t="s">
        <v>57</v>
      </c>
      <c r="B249">
        <v>60</v>
      </c>
      <c r="E249" s="4">
        <f>SUM($F$9:G248)+0.1</f>
        <v>304.10000000000002</v>
      </c>
      <c r="J249" s="7" t="s">
        <v>1254</v>
      </c>
    </row>
    <row r="250" spans="1:10" x14ac:dyDescent="0.35">
      <c r="A250" s="1" t="s">
        <v>58</v>
      </c>
      <c r="B250">
        <v>60</v>
      </c>
      <c r="E250" s="4">
        <f>SUM($F$9:G249)+0.1</f>
        <v>304.10000000000002</v>
      </c>
      <c r="J250" s="7" t="s">
        <v>1255</v>
      </c>
    </row>
    <row r="251" spans="1:10" x14ac:dyDescent="0.35">
      <c r="A251" s="1" t="s">
        <v>1849</v>
      </c>
      <c r="E251" s="4">
        <f>SUM($F$9:G250)+0.1</f>
        <v>304.10000000000002</v>
      </c>
      <c r="J251" s="7" t="s">
        <v>1256</v>
      </c>
    </row>
    <row r="252" spans="1:10" x14ac:dyDescent="0.35">
      <c r="A252" s="1" t="s">
        <v>276</v>
      </c>
      <c r="B252">
        <v>60</v>
      </c>
      <c r="C252" t="s">
        <v>903</v>
      </c>
      <c r="E252" s="4">
        <f>SUM($F$9:G251)+0.1</f>
        <v>304.10000000000002</v>
      </c>
      <c r="J252" s="7" t="s">
        <v>1257</v>
      </c>
    </row>
    <row r="253" spans="1:10" x14ac:dyDescent="0.35">
      <c r="A253" s="1" t="s">
        <v>277</v>
      </c>
      <c r="B253">
        <v>60</v>
      </c>
      <c r="C253">
        <v>1</v>
      </c>
      <c r="E253" s="4">
        <f>SUM($F$9:G252)+0.1</f>
        <v>304.10000000000002</v>
      </c>
      <c r="J253" s="7" t="s">
        <v>1258</v>
      </c>
    </row>
    <row r="254" spans="1:10" x14ac:dyDescent="0.35">
      <c r="A254" s="1" t="s">
        <v>876</v>
      </c>
      <c r="B254">
        <v>60</v>
      </c>
      <c r="E254" s="4">
        <f>SUM($F$9:G253)+0.1</f>
        <v>304.10000000000002</v>
      </c>
      <c r="J254" s="7" t="s">
        <v>1259</v>
      </c>
    </row>
    <row r="255" spans="1:10" x14ac:dyDescent="0.35">
      <c r="A255" s="1" t="s">
        <v>607</v>
      </c>
      <c r="B255">
        <v>60</v>
      </c>
      <c r="E255" s="4">
        <f>SUM($F$9:G254)+0.1</f>
        <v>304.10000000000002</v>
      </c>
      <c r="J255" s="7" t="s">
        <v>1260</v>
      </c>
    </row>
    <row r="256" spans="1:10" x14ac:dyDescent="0.35">
      <c r="A256" s="1" t="s">
        <v>59</v>
      </c>
      <c r="B256">
        <v>60</v>
      </c>
      <c r="E256" s="4">
        <f>SUM($F$9:G255)+0.1</f>
        <v>304.10000000000002</v>
      </c>
      <c r="J256" s="7" t="s">
        <v>1261</v>
      </c>
    </row>
    <row r="257" spans="1:10" x14ac:dyDescent="0.35">
      <c r="A257" s="1" t="s">
        <v>610</v>
      </c>
      <c r="B257">
        <v>60</v>
      </c>
      <c r="E257" s="4">
        <f>SUM($F$9:G256)+0.1</f>
        <v>304.10000000000002</v>
      </c>
      <c r="J257" s="7" t="s">
        <v>1262</v>
      </c>
    </row>
    <row r="258" spans="1:10" x14ac:dyDescent="0.35">
      <c r="A258" s="1" t="s">
        <v>608</v>
      </c>
      <c r="B258">
        <v>60</v>
      </c>
      <c r="E258" s="4">
        <f>SUM($F$9:G257)+0.1</f>
        <v>304.10000000000002</v>
      </c>
      <c r="J258" s="7" t="s">
        <v>1263</v>
      </c>
    </row>
    <row r="259" spans="1:10" x14ac:dyDescent="0.35">
      <c r="A259" s="1" t="s">
        <v>609</v>
      </c>
      <c r="B259">
        <v>60</v>
      </c>
      <c r="E259" s="4">
        <f>SUM($F$9:G258)+0.1</f>
        <v>304.10000000000002</v>
      </c>
      <c r="J259" s="7" t="s">
        <v>1264</v>
      </c>
    </row>
    <row r="260" spans="1:10" x14ac:dyDescent="0.35">
      <c r="A260" s="1" t="s">
        <v>278</v>
      </c>
      <c r="B260">
        <v>60</v>
      </c>
      <c r="E260" s="4">
        <f>SUM($F$9:G259)+0.1</f>
        <v>304.10000000000002</v>
      </c>
      <c r="J260" s="7" t="s">
        <v>1265</v>
      </c>
    </row>
    <row r="261" spans="1:10" x14ac:dyDescent="0.35">
      <c r="A261" s="1" t="s">
        <v>216</v>
      </c>
      <c r="B261">
        <v>60</v>
      </c>
      <c r="E261" s="4">
        <f>SUM($F$9:G260)+0.1</f>
        <v>304.10000000000002</v>
      </c>
      <c r="J261" s="7" t="s">
        <v>1266</v>
      </c>
    </row>
    <row r="262" spans="1:10" x14ac:dyDescent="0.35">
      <c r="A262" s="1" t="s">
        <v>400</v>
      </c>
      <c r="B262">
        <v>60</v>
      </c>
      <c r="E262" s="4">
        <f>SUM($F$9:G261)+0.1</f>
        <v>304.10000000000002</v>
      </c>
      <c r="J262" s="7" t="s">
        <v>1267</v>
      </c>
    </row>
    <row r="263" spans="1:10" x14ac:dyDescent="0.35">
      <c r="A263" s="1" t="s">
        <v>780</v>
      </c>
      <c r="E263" s="4">
        <f>SUM($F$9:G262)+0.1</f>
        <v>304.10000000000002</v>
      </c>
      <c r="J263" s="7" t="s">
        <v>1268</v>
      </c>
    </row>
    <row r="264" spans="1:10" x14ac:dyDescent="0.35">
      <c r="A264" s="1" t="s">
        <v>701</v>
      </c>
      <c r="B264">
        <v>60</v>
      </c>
      <c r="E264" s="4">
        <f>SUM($F$9:G263)+0.1</f>
        <v>304.10000000000002</v>
      </c>
      <c r="F264">
        <v>1</v>
      </c>
      <c r="J264" s="7" t="s">
        <v>1269</v>
      </c>
    </row>
    <row r="265" spans="1:10" x14ac:dyDescent="0.35">
      <c r="A265" s="1" t="s">
        <v>611</v>
      </c>
      <c r="B265">
        <v>60</v>
      </c>
      <c r="E265" s="4">
        <f>SUM($F$9:G264)+0.1</f>
        <v>305.10000000000002</v>
      </c>
      <c r="J265" s="7" t="s">
        <v>1270</v>
      </c>
    </row>
    <row r="266" spans="1:10" x14ac:dyDescent="0.35">
      <c r="A266" s="1" t="s">
        <v>1833</v>
      </c>
      <c r="E266" s="4">
        <f>SUM($F$9:G265)+0.1</f>
        <v>305.10000000000002</v>
      </c>
      <c r="J266" s="7" t="s">
        <v>1271</v>
      </c>
    </row>
    <row r="267" spans="1:10" x14ac:dyDescent="0.35">
      <c r="A267" s="1" t="s">
        <v>803</v>
      </c>
      <c r="B267">
        <v>60</v>
      </c>
      <c r="E267" s="4">
        <f>SUM($F$9:G266)+0.1</f>
        <v>305.10000000000002</v>
      </c>
      <c r="J267" s="7" t="s">
        <v>1272</v>
      </c>
    </row>
    <row r="268" spans="1:10" x14ac:dyDescent="0.35">
      <c r="A268" s="12" t="s">
        <v>685</v>
      </c>
      <c r="B268">
        <v>60</v>
      </c>
      <c r="E268" s="4">
        <f>SUM($F$9:G267)+0.1</f>
        <v>305.10000000000002</v>
      </c>
      <c r="J268" s="7" t="s">
        <v>1273</v>
      </c>
    </row>
    <row r="269" spans="1:10" x14ac:dyDescent="0.35">
      <c r="A269" s="1" t="s">
        <v>735</v>
      </c>
      <c r="B269">
        <v>60</v>
      </c>
      <c r="C269" t="s">
        <v>900</v>
      </c>
      <c r="E269" s="4">
        <f>SUM($F$9:G268)+0.1</f>
        <v>305.10000000000002</v>
      </c>
      <c r="J269" s="7" t="s">
        <v>1274</v>
      </c>
    </row>
    <row r="270" spans="1:10" x14ac:dyDescent="0.35">
      <c r="A270" s="1" t="s">
        <v>282</v>
      </c>
      <c r="B270">
        <v>60</v>
      </c>
      <c r="C270" t="s">
        <v>900</v>
      </c>
      <c r="E270" s="4">
        <f>SUM($F$9:G269)+0.1</f>
        <v>305.10000000000002</v>
      </c>
      <c r="J270" s="7" t="s">
        <v>1275</v>
      </c>
    </row>
    <row r="271" spans="1:10" x14ac:dyDescent="0.35">
      <c r="A271" s="1" t="s">
        <v>686</v>
      </c>
      <c r="B271">
        <v>60</v>
      </c>
      <c r="C271" t="s">
        <v>900</v>
      </c>
      <c r="E271" s="4">
        <f>SUM($F$9:G270)+0.1</f>
        <v>305.10000000000002</v>
      </c>
      <c r="J271" s="7" t="s">
        <v>1276</v>
      </c>
    </row>
    <row r="272" spans="1:10" x14ac:dyDescent="0.35">
      <c r="A272" s="1" t="s">
        <v>283</v>
      </c>
      <c r="B272">
        <v>60</v>
      </c>
      <c r="C272" t="s">
        <v>900</v>
      </c>
      <c r="E272" s="4">
        <f>SUM($F$9:G271)+0.1</f>
        <v>305.10000000000002</v>
      </c>
      <c r="J272" s="7" t="s">
        <v>1277</v>
      </c>
    </row>
    <row r="273" spans="1:10" x14ac:dyDescent="0.35">
      <c r="A273" s="1" t="s">
        <v>284</v>
      </c>
      <c r="B273">
        <v>60</v>
      </c>
      <c r="C273" t="s">
        <v>901</v>
      </c>
      <c r="E273" s="4">
        <f>SUM($F$9:G272)+0.1</f>
        <v>305.10000000000002</v>
      </c>
      <c r="F273">
        <v>2</v>
      </c>
      <c r="J273" s="7" t="s">
        <v>1278</v>
      </c>
    </row>
    <row r="274" spans="1:10" x14ac:dyDescent="0.35">
      <c r="A274" s="1" t="s">
        <v>804</v>
      </c>
      <c r="B274">
        <v>60</v>
      </c>
      <c r="E274" s="4">
        <f>SUM($F$9:G273)+0.1</f>
        <v>307.10000000000002</v>
      </c>
      <c r="J274" s="7" t="s">
        <v>1279</v>
      </c>
    </row>
    <row r="275" spans="1:10" x14ac:dyDescent="0.35">
      <c r="A275" s="1" t="s">
        <v>509</v>
      </c>
      <c r="B275">
        <v>60</v>
      </c>
      <c r="E275" s="4">
        <f>SUM($F$9:G274)+0.1</f>
        <v>307.10000000000002</v>
      </c>
      <c r="J275" s="7" t="s">
        <v>1280</v>
      </c>
    </row>
    <row r="276" spans="1:10" x14ac:dyDescent="0.35">
      <c r="A276" s="1" t="s">
        <v>61</v>
      </c>
      <c r="B276">
        <v>60</v>
      </c>
      <c r="E276" s="4">
        <f>SUM($F$9:G275)+0.1</f>
        <v>307.10000000000002</v>
      </c>
      <c r="J276" s="7" t="s">
        <v>1281</v>
      </c>
    </row>
    <row r="277" spans="1:10" x14ac:dyDescent="0.35">
      <c r="A277" s="1" t="s">
        <v>62</v>
      </c>
      <c r="B277">
        <v>60</v>
      </c>
      <c r="E277" s="4">
        <f>SUM($F$9:G276)+0.1</f>
        <v>307.10000000000002</v>
      </c>
      <c r="J277" s="7" t="s">
        <v>1282</v>
      </c>
    </row>
    <row r="278" spans="1:10" x14ac:dyDescent="0.35">
      <c r="A278" s="1" t="s">
        <v>613</v>
      </c>
      <c r="B278">
        <v>60</v>
      </c>
      <c r="C278" t="s">
        <v>900</v>
      </c>
      <c r="E278" s="4">
        <f>SUM($F$9:G277)+0.1</f>
        <v>307.10000000000002</v>
      </c>
      <c r="J278" s="7" t="s">
        <v>1283</v>
      </c>
    </row>
    <row r="279" spans="1:10" x14ac:dyDescent="0.35">
      <c r="A279" s="1" t="s">
        <v>612</v>
      </c>
      <c r="B279">
        <v>60</v>
      </c>
      <c r="C279" t="s">
        <v>900</v>
      </c>
      <c r="E279" s="4">
        <f>SUM($F$9:G278)+0.1</f>
        <v>307.10000000000002</v>
      </c>
      <c r="J279" s="7" t="s">
        <v>1284</v>
      </c>
    </row>
    <row r="280" spans="1:10" x14ac:dyDescent="0.35">
      <c r="A280" s="1" t="s">
        <v>285</v>
      </c>
      <c r="B280">
        <v>60</v>
      </c>
      <c r="C280" t="s">
        <v>900</v>
      </c>
      <c r="E280" s="4">
        <f>SUM($F$9:G279)+0.1</f>
        <v>307.10000000000002</v>
      </c>
      <c r="J280" s="7" t="s">
        <v>1285</v>
      </c>
    </row>
    <row r="281" spans="1:10" x14ac:dyDescent="0.35">
      <c r="A281" s="12" t="s">
        <v>63</v>
      </c>
      <c r="B281">
        <v>60</v>
      </c>
      <c r="E281" s="4">
        <f>SUM($F$9:G280)+0.1</f>
        <v>307.10000000000002</v>
      </c>
      <c r="J281" s="7" t="s">
        <v>1286</v>
      </c>
    </row>
    <row r="282" spans="1:10" x14ac:dyDescent="0.35">
      <c r="A282" s="1" t="s">
        <v>1836</v>
      </c>
      <c r="E282" s="4">
        <f>SUM($F$9:G281)+0.1</f>
        <v>307.10000000000002</v>
      </c>
      <c r="J282" s="7" t="s">
        <v>1287</v>
      </c>
    </row>
    <row r="283" spans="1:10" x14ac:dyDescent="0.35">
      <c r="A283" s="1" t="s">
        <v>614</v>
      </c>
      <c r="B283">
        <v>60</v>
      </c>
      <c r="E283" s="4">
        <f>SUM($F$9:G282)+0.1</f>
        <v>307.10000000000002</v>
      </c>
      <c r="F283">
        <v>3</v>
      </c>
      <c r="J283" s="7" t="s">
        <v>1288</v>
      </c>
    </row>
    <row r="284" spans="1:10" x14ac:dyDescent="0.35">
      <c r="A284" s="13" t="s">
        <v>64</v>
      </c>
      <c r="B284">
        <v>60</v>
      </c>
      <c r="C284" t="s">
        <v>901</v>
      </c>
      <c r="E284" s="4">
        <f>SUM($F$9:G283)+0.1</f>
        <v>310.10000000000002</v>
      </c>
      <c r="J284" s="7" t="s">
        <v>1289</v>
      </c>
    </row>
    <row r="285" spans="1:10" x14ac:dyDescent="0.35">
      <c r="A285" s="1" t="s">
        <v>689</v>
      </c>
      <c r="B285">
        <v>60</v>
      </c>
      <c r="C285" t="s">
        <v>901</v>
      </c>
      <c r="E285" s="4">
        <f>SUM($F$9:G284)+0.1</f>
        <v>310.10000000000002</v>
      </c>
      <c r="J285" s="7" t="s">
        <v>1290</v>
      </c>
    </row>
    <row r="286" spans="1:10" x14ac:dyDescent="0.35">
      <c r="A286" s="1" t="s">
        <v>1850</v>
      </c>
      <c r="E286" s="4">
        <f>SUM($F$9:G285)+0.1</f>
        <v>310.10000000000002</v>
      </c>
      <c r="J286" s="7" t="s">
        <v>1291</v>
      </c>
    </row>
    <row r="287" spans="1:10" x14ac:dyDescent="0.35">
      <c r="A287" s="1" t="s">
        <v>287</v>
      </c>
      <c r="B287">
        <v>60</v>
      </c>
      <c r="C287">
        <v>1</v>
      </c>
      <c r="E287" s="4">
        <f>SUM($F$9:G286)+0.1</f>
        <v>310.10000000000002</v>
      </c>
      <c r="J287" s="7" t="s">
        <v>1292</v>
      </c>
    </row>
    <row r="288" spans="1:10" x14ac:dyDescent="0.35">
      <c r="A288" s="1" t="s">
        <v>288</v>
      </c>
      <c r="B288">
        <v>60</v>
      </c>
      <c r="E288" s="4">
        <f>SUM($F$9:G287)+0.1</f>
        <v>310.10000000000002</v>
      </c>
      <c r="J288" s="7" t="s">
        <v>1293</v>
      </c>
    </row>
    <row r="289" spans="1:10" x14ac:dyDescent="0.35">
      <c r="A289" s="1" t="s">
        <v>168</v>
      </c>
      <c r="B289">
        <v>60</v>
      </c>
      <c r="E289" s="4">
        <f>SUM($F$9:G288)+0.1</f>
        <v>310.10000000000002</v>
      </c>
      <c r="J289" s="7" t="s">
        <v>1294</v>
      </c>
    </row>
    <row r="290" spans="1:10" x14ac:dyDescent="0.35">
      <c r="A290" s="1" t="s">
        <v>290</v>
      </c>
      <c r="B290">
        <v>60</v>
      </c>
      <c r="E290" s="4">
        <f>SUM($F$9:G289)+0.1</f>
        <v>310.10000000000002</v>
      </c>
      <c r="J290" s="7" t="s">
        <v>1295</v>
      </c>
    </row>
    <row r="291" spans="1:10" x14ac:dyDescent="0.35">
      <c r="A291" s="1" t="s">
        <v>615</v>
      </c>
      <c r="B291">
        <v>60</v>
      </c>
      <c r="E291" s="4">
        <f>SUM($F$9:G290)+0.1</f>
        <v>310.10000000000002</v>
      </c>
      <c r="J291" s="7" t="s">
        <v>1296</v>
      </c>
    </row>
    <row r="292" spans="1:10" x14ac:dyDescent="0.35">
      <c r="A292" s="1" t="s">
        <v>291</v>
      </c>
      <c r="B292">
        <v>60</v>
      </c>
      <c r="E292" s="4">
        <f>SUM($F$9:G291)+0.1</f>
        <v>310.10000000000002</v>
      </c>
      <c r="J292" s="7" t="s">
        <v>1297</v>
      </c>
    </row>
    <row r="293" spans="1:10" x14ac:dyDescent="0.35">
      <c r="A293" s="1" t="s">
        <v>292</v>
      </c>
      <c r="B293">
        <v>60</v>
      </c>
      <c r="C293" t="s">
        <v>901</v>
      </c>
      <c r="E293" s="4">
        <f>SUM($F$9:G292)+0.1</f>
        <v>310.10000000000002</v>
      </c>
      <c r="F293">
        <v>1</v>
      </c>
      <c r="J293" s="7" t="s">
        <v>1298</v>
      </c>
    </row>
    <row r="294" spans="1:10" x14ac:dyDescent="0.35">
      <c r="A294" s="13" t="s">
        <v>691</v>
      </c>
      <c r="B294">
        <v>60</v>
      </c>
      <c r="C294" t="s">
        <v>901</v>
      </c>
      <c r="E294" s="4">
        <f>SUM($F$9:G293)+0.1</f>
        <v>311.10000000000002</v>
      </c>
      <c r="J294" s="7" t="s">
        <v>1299</v>
      </c>
    </row>
    <row r="295" spans="1:10" x14ac:dyDescent="0.35">
      <c r="A295" s="1" t="s">
        <v>79</v>
      </c>
      <c r="E295" s="4">
        <f>SUM($F$9:G294)+0.1</f>
        <v>311.10000000000002</v>
      </c>
      <c r="J295" s="7" t="s">
        <v>1300</v>
      </c>
    </row>
    <row r="296" spans="1:10" x14ac:dyDescent="0.35">
      <c r="A296" s="1" t="s">
        <v>1856</v>
      </c>
      <c r="E296" s="4">
        <f>SUM($F$9:G295)+0.1</f>
        <v>311.10000000000002</v>
      </c>
      <c r="J296" s="7" t="s">
        <v>1301</v>
      </c>
    </row>
    <row r="297" spans="1:10" x14ac:dyDescent="0.35">
      <c r="A297" s="1" t="s">
        <v>1856</v>
      </c>
      <c r="E297" s="4">
        <f>SUM($F$9:G296)+0.1</f>
        <v>311.10000000000002</v>
      </c>
      <c r="J297" s="7" t="s">
        <v>1302</v>
      </c>
    </row>
    <row r="298" spans="1:10" x14ac:dyDescent="0.35">
      <c r="A298" s="1" t="s">
        <v>67</v>
      </c>
      <c r="B298">
        <v>60</v>
      </c>
      <c r="E298" s="4">
        <f>SUM($F$9:G297)+0.1</f>
        <v>311.10000000000002</v>
      </c>
      <c r="J298" s="7" t="s">
        <v>1303</v>
      </c>
    </row>
    <row r="299" spans="1:10" x14ac:dyDescent="0.35">
      <c r="A299" s="12" t="s">
        <v>636</v>
      </c>
      <c r="B299">
        <v>60</v>
      </c>
      <c r="E299" s="4">
        <f>SUM($F$9:G298)+0.1</f>
        <v>311.10000000000002</v>
      </c>
      <c r="F299">
        <v>10</v>
      </c>
      <c r="J299" s="7" t="s">
        <v>1304</v>
      </c>
    </row>
    <row r="300" spans="1:10" x14ac:dyDescent="0.35">
      <c r="A300" s="1" t="s">
        <v>294</v>
      </c>
      <c r="B300">
        <v>60</v>
      </c>
      <c r="E300" s="4">
        <f>SUM($F$9:G299)+0.1</f>
        <v>321.10000000000002</v>
      </c>
      <c r="J300" s="7" t="s">
        <v>1305</v>
      </c>
    </row>
    <row r="301" spans="1:10" x14ac:dyDescent="0.35">
      <c r="A301" s="1" t="s">
        <v>295</v>
      </c>
      <c r="B301">
        <v>60</v>
      </c>
      <c r="C301" t="s">
        <v>900</v>
      </c>
      <c r="E301" s="4">
        <f>SUM($F$9:G300)+0.1</f>
        <v>321.10000000000002</v>
      </c>
      <c r="J301" s="7" t="s">
        <v>1306</v>
      </c>
    </row>
    <row r="302" spans="1:10" x14ac:dyDescent="0.35">
      <c r="A302" s="1" t="s">
        <v>879</v>
      </c>
      <c r="B302">
        <v>60</v>
      </c>
      <c r="E302" s="4">
        <f>SUM($F$9:G301)+0.1</f>
        <v>321.10000000000002</v>
      </c>
      <c r="J302" s="7" t="s">
        <v>1307</v>
      </c>
    </row>
    <row r="303" spans="1:10" x14ac:dyDescent="0.35">
      <c r="A303" s="1" t="s">
        <v>80</v>
      </c>
      <c r="E303" s="4">
        <f>SUM($F$9:G302)+0.1</f>
        <v>321.10000000000002</v>
      </c>
      <c r="J303" s="7" t="s">
        <v>1308</v>
      </c>
    </row>
    <row r="304" spans="1:10" x14ac:dyDescent="0.35">
      <c r="A304" s="1" t="s">
        <v>692</v>
      </c>
      <c r="B304">
        <v>60</v>
      </c>
      <c r="C304">
        <v>1</v>
      </c>
      <c r="E304" s="4">
        <f>SUM($F$9:G303)+0.1</f>
        <v>321.10000000000002</v>
      </c>
      <c r="J304" s="7" t="s">
        <v>1309</v>
      </c>
    </row>
    <row r="305" spans="1:10" x14ac:dyDescent="0.35">
      <c r="A305" s="1" t="s">
        <v>782</v>
      </c>
      <c r="B305">
        <v>60</v>
      </c>
      <c r="C305" t="s">
        <v>900</v>
      </c>
      <c r="E305" s="4">
        <f>SUM($F$9:G304)+0.1</f>
        <v>321.10000000000002</v>
      </c>
      <c r="J305" s="7" t="s">
        <v>1310</v>
      </c>
    </row>
    <row r="306" spans="1:10" x14ac:dyDescent="0.35">
      <c r="A306" s="1" t="s">
        <v>618</v>
      </c>
      <c r="B306">
        <v>60</v>
      </c>
      <c r="C306" t="s">
        <v>900</v>
      </c>
      <c r="E306" s="4">
        <f>SUM($F$9:G305)+0.1</f>
        <v>321.10000000000002</v>
      </c>
      <c r="J306" s="7" t="s">
        <v>1311</v>
      </c>
    </row>
    <row r="307" spans="1:10" x14ac:dyDescent="0.35">
      <c r="A307" s="1" t="s">
        <v>850</v>
      </c>
      <c r="B307">
        <v>60</v>
      </c>
      <c r="C307" t="s">
        <v>900</v>
      </c>
      <c r="E307" s="4">
        <f>SUM($F$9:G306)+0.1</f>
        <v>321.10000000000002</v>
      </c>
      <c r="J307" s="7" t="s">
        <v>1312</v>
      </c>
    </row>
    <row r="308" spans="1:10" x14ac:dyDescent="0.35">
      <c r="A308" s="1" t="s">
        <v>694</v>
      </c>
      <c r="B308">
        <v>60</v>
      </c>
      <c r="E308" s="4">
        <f>SUM($F$9:G307)+0.1</f>
        <v>321.10000000000002</v>
      </c>
      <c r="J308" s="7" t="s">
        <v>1313</v>
      </c>
    </row>
    <row r="309" spans="1:10" x14ac:dyDescent="0.35">
      <c r="A309" s="1" t="s">
        <v>69</v>
      </c>
      <c r="B309">
        <v>60</v>
      </c>
      <c r="E309" s="4">
        <f>SUM($F$9:G308)+0.1</f>
        <v>321.10000000000002</v>
      </c>
      <c r="F309">
        <v>1</v>
      </c>
      <c r="J309" s="7" t="s">
        <v>1314</v>
      </c>
    </row>
    <row r="310" spans="1:10" x14ac:dyDescent="0.35">
      <c r="A310" s="1" t="s">
        <v>213</v>
      </c>
      <c r="B310">
        <v>60</v>
      </c>
      <c r="E310" s="4">
        <f>SUM($F$9:G309)+0.1</f>
        <v>322.10000000000002</v>
      </c>
      <c r="J310" s="7" t="s">
        <v>1315</v>
      </c>
    </row>
    <row r="311" spans="1:10" x14ac:dyDescent="0.35">
      <c r="A311" s="1" t="s">
        <v>338</v>
      </c>
      <c r="B311">
        <v>60</v>
      </c>
      <c r="C311" t="s">
        <v>900</v>
      </c>
      <c r="E311" s="4">
        <f>SUM($F$9:G310)+0.1</f>
        <v>322.10000000000002</v>
      </c>
      <c r="J311" s="7" t="s">
        <v>1316</v>
      </c>
    </row>
    <row r="312" spans="1:10" x14ac:dyDescent="0.35">
      <c r="A312" s="1" t="s">
        <v>70</v>
      </c>
      <c r="B312">
        <v>60</v>
      </c>
      <c r="C312" t="s">
        <v>901</v>
      </c>
      <c r="E312" s="4">
        <f>SUM($F$9:G311)+0.1</f>
        <v>322.10000000000002</v>
      </c>
      <c r="J312" s="7" t="s">
        <v>1317</v>
      </c>
    </row>
    <row r="313" spans="1:10" x14ac:dyDescent="0.35">
      <c r="A313" s="1" t="s">
        <v>297</v>
      </c>
      <c r="B313">
        <v>60</v>
      </c>
      <c r="C313" t="s">
        <v>900</v>
      </c>
      <c r="E313" s="4">
        <f>SUM($F$9:G312)+0.1</f>
        <v>322.10000000000002</v>
      </c>
      <c r="J313" s="7" t="s">
        <v>1318</v>
      </c>
    </row>
    <row r="314" spans="1:10" x14ac:dyDescent="0.35">
      <c r="A314" s="1" t="s">
        <v>298</v>
      </c>
      <c r="B314">
        <v>60</v>
      </c>
      <c r="E314" s="4">
        <f>SUM($F$9:G313)+0.1</f>
        <v>322.10000000000002</v>
      </c>
      <c r="J314" s="7" t="s">
        <v>1319</v>
      </c>
    </row>
    <row r="315" spans="1:10" x14ac:dyDescent="0.35">
      <c r="A315" s="1" t="s">
        <v>510</v>
      </c>
      <c r="B315">
        <v>60</v>
      </c>
      <c r="C315" t="s">
        <v>901</v>
      </c>
      <c r="E315" s="4">
        <f>SUM($F$9:G314)+0.1</f>
        <v>322.10000000000002</v>
      </c>
      <c r="J315" s="7" t="s">
        <v>1320</v>
      </c>
    </row>
    <row r="316" spans="1:10" x14ac:dyDescent="0.35">
      <c r="A316" s="1" t="s">
        <v>851</v>
      </c>
      <c r="B316">
        <v>60</v>
      </c>
      <c r="E316" s="4">
        <f>SUM($F$9:G315)+0.1</f>
        <v>322.10000000000002</v>
      </c>
      <c r="J316" s="7" t="s">
        <v>1321</v>
      </c>
    </row>
    <row r="317" spans="1:10" x14ac:dyDescent="0.35">
      <c r="A317" s="1" t="s">
        <v>197</v>
      </c>
      <c r="B317">
        <v>60</v>
      </c>
      <c r="E317" s="4">
        <f>SUM($F$9:G316)+0.1</f>
        <v>322.10000000000002</v>
      </c>
      <c r="J317" s="7" t="s">
        <v>1322</v>
      </c>
    </row>
    <row r="318" spans="1:10" x14ac:dyDescent="0.35">
      <c r="A318" s="1" t="s">
        <v>737</v>
      </c>
      <c r="B318">
        <v>60</v>
      </c>
      <c r="E318" s="4">
        <f>SUM($F$9:G317)+0.1</f>
        <v>322.10000000000002</v>
      </c>
      <c r="J318" s="7" t="s">
        <v>1323</v>
      </c>
    </row>
    <row r="319" spans="1:10" x14ac:dyDescent="0.35">
      <c r="A319" s="1" t="s">
        <v>512</v>
      </c>
      <c r="B319">
        <v>60</v>
      </c>
      <c r="E319" s="4">
        <f>SUM($F$9:G318)+0.1</f>
        <v>322.10000000000002</v>
      </c>
      <c r="J319" s="7" t="s">
        <v>1324</v>
      </c>
    </row>
    <row r="320" spans="1:10" x14ac:dyDescent="0.35">
      <c r="A320" s="1" t="s">
        <v>738</v>
      </c>
      <c r="B320">
        <v>60</v>
      </c>
      <c r="C320" t="s">
        <v>900</v>
      </c>
      <c r="E320" s="4">
        <f>SUM($F$9:G319)+0.1</f>
        <v>322.10000000000002</v>
      </c>
      <c r="J320" s="7" t="s">
        <v>1325</v>
      </c>
    </row>
    <row r="321" spans="1:10" x14ac:dyDescent="0.35">
      <c r="A321" s="1" t="s">
        <v>160</v>
      </c>
      <c r="B321">
        <v>60</v>
      </c>
      <c r="C321" t="s">
        <v>901</v>
      </c>
      <c r="E321" s="4">
        <f>SUM($F$9:G320)+0.1</f>
        <v>322.10000000000002</v>
      </c>
      <c r="F321">
        <v>5</v>
      </c>
      <c r="J321" s="7" t="s">
        <v>1326</v>
      </c>
    </row>
    <row r="322" spans="1:10" x14ac:dyDescent="0.35">
      <c r="A322" s="1" t="s">
        <v>739</v>
      </c>
      <c r="B322">
        <v>60</v>
      </c>
      <c r="C322" t="s">
        <v>900</v>
      </c>
      <c r="E322" s="4">
        <f>SUM($F$9:G321)+0.1</f>
        <v>327.10000000000002</v>
      </c>
      <c r="J322" s="7" t="s">
        <v>1327</v>
      </c>
    </row>
    <row r="323" spans="1:10" x14ac:dyDescent="0.35">
      <c r="A323" s="1" t="s">
        <v>783</v>
      </c>
      <c r="B323">
        <v>60</v>
      </c>
      <c r="C323" t="s">
        <v>900</v>
      </c>
      <c r="E323" s="4">
        <f>SUM($F$9:G322)+0.1</f>
        <v>327.10000000000002</v>
      </c>
      <c r="J323" s="7" t="s">
        <v>1328</v>
      </c>
    </row>
    <row r="324" spans="1:10" x14ac:dyDescent="0.35">
      <c r="A324" s="1" t="s">
        <v>187</v>
      </c>
      <c r="B324">
        <v>60</v>
      </c>
      <c r="E324" s="4">
        <f>SUM($F$9:G323)+0.1</f>
        <v>327.10000000000002</v>
      </c>
      <c r="J324" s="10" t="s">
        <v>1329</v>
      </c>
    </row>
    <row r="325" spans="1:10" x14ac:dyDescent="0.35">
      <c r="A325" s="1" t="s">
        <v>301</v>
      </c>
      <c r="B325">
        <v>60</v>
      </c>
      <c r="C325" t="s">
        <v>900</v>
      </c>
      <c r="E325" s="4">
        <f>SUM($F$9:G324)+0.1</f>
        <v>327.10000000000002</v>
      </c>
      <c r="J325" s="10" t="s">
        <v>1330</v>
      </c>
    </row>
    <row r="326" spans="1:10" x14ac:dyDescent="0.35">
      <c r="A326" s="1" t="s">
        <v>302</v>
      </c>
      <c r="B326">
        <v>60</v>
      </c>
      <c r="C326" t="s">
        <v>900</v>
      </c>
      <c r="E326" s="4">
        <f>SUM($F$9:G325)+0.1</f>
        <v>327.10000000000002</v>
      </c>
      <c r="J326" s="10" t="s">
        <v>1331</v>
      </c>
    </row>
    <row r="327" spans="1:10" x14ac:dyDescent="0.35">
      <c r="A327" s="1" t="s">
        <v>403</v>
      </c>
      <c r="B327">
        <v>60</v>
      </c>
      <c r="C327" t="s">
        <v>900</v>
      </c>
      <c r="E327" s="4">
        <f>SUM($F$9:G326)+0.1</f>
        <v>327.10000000000002</v>
      </c>
      <c r="J327" s="10" t="s">
        <v>1332</v>
      </c>
    </row>
    <row r="328" spans="1:10" x14ac:dyDescent="0.35">
      <c r="A328" s="1" t="s">
        <v>834</v>
      </c>
      <c r="B328">
        <v>60</v>
      </c>
      <c r="C328">
        <v>1</v>
      </c>
      <c r="E328" s="4">
        <f>SUM($F$9:G327)+0.1</f>
        <v>327.10000000000002</v>
      </c>
      <c r="J328" s="10" t="s">
        <v>1333</v>
      </c>
    </row>
    <row r="329" spans="1:10" x14ac:dyDescent="0.35">
      <c r="A329" s="1" t="s">
        <v>404</v>
      </c>
      <c r="B329">
        <v>60</v>
      </c>
      <c r="E329" s="4">
        <f>SUM($F$9:G328)+0.1</f>
        <v>327.10000000000002</v>
      </c>
      <c r="J329" s="10" t="s">
        <v>1334</v>
      </c>
    </row>
    <row r="330" spans="1:10" x14ac:dyDescent="0.35">
      <c r="A330" s="1" t="s">
        <v>741</v>
      </c>
      <c r="B330">
        <v>60</v>
      </c>
      <c r="C330" t="s">
        <v>900</v>
      </c>
      <c r="E330" s="4">
        <f>SUM($F$9:G329)+0.1</f>
        <v>327.10000000000002</v>
      </c>
      <c r="J330" s="7" t="s">
        <v>1335</v>
      </c>
    </row>
    <row r="331" spans="1:10" x14ac:dyDescent="0.35">
      <c r="A331" s="1" t="s">
        <v>742</v>
      </c>
      <c r="B331">
        <v>60</v>
      </c>
      <c r="E331" s="4">
        <f>SUM($F$9:G330)+0.1</f>
        <v>327.10000000000002</v>
      </c>
      <c r="J331" s="7" t="s">
        <v>1336</v>
      </c>
    </row>
    <row r="332" spans="1:10" x14ac:dyDescent="0.35">
      <c r="A332" s="1" t="s">
        <v>743</v>
      </c>
      <c r="B332">
        <v>60</v>
      </c>
      <c r="E332" s="4">
        <f>SUM($F$9:G331)+0.1</f>
        <v>327.10000000000002</v>
      </c>
      <c r="J332" s="7" t="s">
        <v>1337</v>
      </c>
    </row>
    <row r="333" spans="1:10" x14ac:dyDescent="0.35">
      <c r="A333" s="1" t="s">
        <v>835</v>
      </c>
      <c r="B333">
        <v>60</v>
      </c>
      <c r="E333" s="4">
        <f>SUM($F$9:G332)+0.1</f>
        <v>327.10000000000002</v>
      </c>
      <c r="J333" s="7" t="s">
        <v>1338</v>
      </c>
    </row>
    <row r="334" spans="1:10" x14ac:dyDescent="0.35">
      <c r="A334" s="1" t="s">
        <v>645</v>
      </c>
      <c r="B334">
        <v>60</v>
      </c>
      <c r="E334" s="4">
        <f>SUM($F$9:G333)+0.1</f>
        <v>327.10000000000002</v>
      </c>
      <c r="J334" s="7" t="s">
        <v>1339</v>
      </c>
    </row>
    <row r="335" spans="1:10" x14ac:dyDescent="0.35">
      <c r="A335" s="1" t="s">
        <v>853</v>
      </c>
      <c r="B335">
        <v>60</v>
      </c>
      <c r="E335" s="4">
        <f>SUM($F$9:G334)+0.1</f>
        <v>327.10000000000002</v>
      </c>
      <c r="J335" s="7" t="s">
        <v>1340</v>
      </c>
    </row>
    <row r="336" spans="1:10" x14ac:dyDescent="0.35">
      <c r="A336" s="1" t="s">
        <v>854</v>
      </c>
      <c r="B336">
        <v>60</v>
      </c>
      <c r="E336" s="4">
        <f>SUM($F$9:G335)+0.1</f>
        <v>327.10000000000002</v>
      </c>
      <c r="J336" s="7" t="s">
        <v>1341</v>
      </c>
    </row>
    <row r="337" spans="1:10" x14ac:dyDescent="0.35">
      <c r="A337" s="1" t="s">
        <v>855</v>
      </c>
      <c r="B337">
        <v>60</v>
      </c>
      <c r="E337" s="4">
        <f>SUM($F$9:G336)+0.1</f>
        <v>327.10000000000002</v>
      </c>
      <c r="J337" s="7" t="s">
        <v>1342</v>
      </c>
    </row>
    <row r="338" spans="1:10" x14ac:dyDescent="0.35">
      <c r="A338" s="1" t="s">
        <v>514</v>
      </c>
      <c r="B338">
        <v>60</v>
      </c>
      <c r="E338" s="4">
        <f>SUM($F$9:G337)+0.1</f>
        <v>327.10000000000002</v>
      </c>
      <c r="J338" s="7" t="s">
        <v>1343</v>
      </c>
    </row>
    <row r="339" spans="1:10" x14ac:dyDescent="0.35">
      <c r="A339" s="1" t="s">
        <v>695</v>
      </c>
      <c r="B339">
        <v>60</v>
      </c>
      <c r="C339" t="s">
        <v>900</v>
      </c>
      <c r="E339" s="4">
        <f>SUM($F$9:G338)+0.1</f>
        <v>327.10000000000002</v>
      </c>
      <c r="J339" s="7" t="s">
        <v>1344</v>
      </c>
    </row>
    <row r="340" spans="1:10" x14ac:dyDescent="0.35">
      <c r="A340" s="1" t="s">
        <v>73</v>
      </c>
      <c r="B340">
        <v>60</v>
      </c>
      <c r="E340" s="4">
        <f>SUM($F$9:G339)+0.1</f>
        <v>327.10000000000002</v>
      </c>
      <c r="J340" s="7" t="s">
        <v>1345</v>
      </c>
    </row>
    <row r="341" spans="1:10" x14ac:dyDescent="0.35">
      <c r="A341" s="1" t="s">
        <v>515</v>
      </c>
      <c r="B341">
        <v>60</v>
      </c>
      <c r="E341" s="4">
        <f>SUM($F$9:G340)+0.1</f>
        <v>327.10000000000002</v>
      </c>
      <c r="J341" s="7" t="s">
        <v>1346</v>
      </c>
    </row>
    <row r="342" spans="1:10" x14ac:dyDescent="0.35">
      <c r="A342" s="1" t="s">
        <v>805</v>
      </c>
      <c r="B342">
        <v>60</v>
      </c>
      <c r="C342" t="s">
        <v>901</v>
      </c>
      <c r="E342" s="4">
        <f>SUM($F$9:G341)+0.1</f>
        <v>327.10000000000002</v>
      </c>
      <c r="J342" s="7" t="s">
        <v>1347</v>
      </c>
    </row>
    <row r="343" spans="1:10" x14ac:dyDescent="0.35">
      <c r="A343" s="1" t="s">
        <v>646</v>
      </c>
      <c r="B343">
        <v>60</v>
      </c>
      <c r="E343" s="4">
        <f>SUM($F$9:G342)+0.1</f>
        <v>327.10000000000002</v>
      </c>
      <c r="J343" s="7" t="s">
        <v>1348</v>
      </c>
    </row>
    <row r="344" spans="1:10" x14ac:dyDescent="0.35">
      <c r="A344" s="1" t="s">
        <v>518</v>
      </c>
      <c r="B344">
        <v>60</v>
      </c>
      <c r="E344" s="4">
        <f>SUM($F$9:G343)+0.1</f>
        <v>327.10000000000002</v>
      </c>
      <c r="J344" s="7" t="s">
        <v>1349</v>
      </c>
    </row>
    <row r="345" spans="1:10" x14ac:dyDescent="0.35">
      <c r="A345" s="1" t="s">
        <v>696</v>
      </c>
      <c r="B345">
        <v>60</v>
      </c>
      <c r="C345" t="s">
        <v>900</v>
      </c>
      <c r="E345" s="4">
        <f>SUM($F$9:G344)+0.1</f>
        <v>327.10000000000002</v>
      </c>
      <c r="J345" s="7" t="s">
        <v>1350</v>
      </c>
    </row>
    <row r="346" spans="1:10" x14ac:dyDescent="0.35">
      <c r="A346" s="1" t="s">
        <v>303</v>
      </c>
      <c r="B346">
        <v>60</v>
      </c>
      <c r="C346" t="s">
        <v>900</v>
      </c>
      <c r="E346" s="4">
        <f>SUM($F$9:G345)+0.1</f>
        <v>327.10000000000002</v>
      </c>
      <c r="J346" s="7" t="s">
        <v>1351</v>
      </c>
    </row>
    <row r="347" spans="1:10" x14ac:dyDescent="0.35">
      <c r="A347" s="1" t="s">
        <v>304</v>
      </c>
      <c r="B347">
        <v>60</v>
      </c>
      <c r="C347" t="s">
        <v>900</v>
      </c>
      <c r="E347" s="4">
        <f>SUM($F$9:G346)+0.1</f>
        <v>327.10000000000002</v>
      </c>
      <c r="J347" s="7" t="s">
        <v>1352</v>
      </c>
    </row>
    <row r="348" spans="1:10" x14ac:dyDescent="0.35">
      <c r="A348" s="1" t="s">
        <v>305</v>
      </c>
      <c r="B348">
        <v>60</v>
      </c>
      <c r="E348" s="4">
        <f>SUM($F$9:G347)+0.1</f>
        <v>327.10000000000002</v>
      </c>
      <c r="J348" s="7" t="s">
        <v>1353</v>
      </c>
    </row>
    <row r="349" spans="1:10" x14ac:dyDescent="0.35">
      <c r="A349" s="1" t="s">
        <v>880</v>
      </c>
      <c r="B349">
        <v>60</v>
      </c>
      <c r="E349" s="4">
        <f>SUM($F$9:G348)+0.1</f>
        <v>327.10000000000002</v>
      </c>
      <c r="J349" s="7" t="s">
        <v>1354</v>
      </c>
    </row>
    <row r="350" spans="1:10" x14ac:dyDescent="0.35">
      <c r="A350" s="1" t="s">
        <v>405</v>
      </c>
      <c r="B350">
        <v>60</v>
      </c>
      <c r="E350" s="4">
        <f>SUM($F$9:G349)+0.1</f>
        <v>327.10000000000002</v>
      </c>
      <c r="J350" s="7" t="s">
        <v>1355</v>
      </c>
    </row>
    <row r="351" spans="1:10" x14ac:dyDescent="0.35">
      <c r="A351" s="1" t="s">
        <v>308</v>
      </c>
      <c r="B351">
        <v>60</v>
      </c>
      <c r="E351" s="4">
        <f>SUM($F$9:G350)+0.1</f>
        <v>327.10000000000002</v>
      </c>
      <c r="J351" s="7" t="s">
        <v>1356</v>
      </c>
    </row>
    <row r="352" spans="1:10" x14ac:dyDescent="0.35">
      <c r="A352" s="1" t="s">
        <v>309</v>
      </c>
      <c r="B352">
        <v>60</v>
      </c>
      <c r="E352" s="4">
        <f>SUM($F$9:G351)+0.1</f>
        <v>327.10000000000002</v>
      </c>
      <c r="J352" s="7" t="s">
        <v>1357</v>
      </c>
    </row>
    <row r="353" spans="1:10" x14ac:dyDescent="0.35">
      <c r="A353" s="1" t="s">
        <v>697</v>
      </c>
      <c r="B353">
        <v>60</v>
      </c>
      <c r="E353" s="4">
        <f>SUM($F$9:G352)+0.1</f>
        <v>327.10000000000002</v>
      </c>
      <c r="J353" s="7" t="s">
        <v>1358</v>
      </c>
    </row>
    <row r="354" spans="1:10" x14ac:dyDescent="0.35">
      <c r="A354" s="1" t="s">
        <v>199</v>
      </c>
      <c r="E354" s="4">
        <f>SUM($F$9:G353)+0.1</f>
        <v>327.10000000000002</v>
      </c>
      <c r="J354" s="7" t="s">
        <v>1359</v>
      </c>
    </row>
    <row r="355" spans="1:10" x14ac:dyDescent="0.35">
      <c r="A355" s="1" t="s">
        <v>310</v>
      </c>
      <c r="B355">
        <v>60</v>
      </c>
      <c r="E355" s="4">
        <f>SUM($F$9:G354)+0.1</f>
        <v>327.10000000000002</v>
      </c>
      <c r="J355" s="7" t="s">
        <v>1360</v>
      </c>
    </row>
    <row r="356" spans="1:10" x14ac:dyDescent="0.35">
      <c r="A356" s="1" t="s">
        <v>568</v>
      </c>
      <c r="B356">
        <v>60</v>
      </c>
      <c r="C356" t="s">
        <v>901</v>
      </c>
      <c r="E356" s="4">
        <f>SUM($F$9:G355)+0.1</f>
        <v>327.10000000000002</v>
      </c>
      <c r="F356">
        <v>3</v>
      </c>
      <c r="J356" s="7" t="s">
        <v>1361</v>
      </c>
    </row>
    <row r="357" spans="1:10" x14ac:dyDescent="0.35">
      <c r="A357" s="1" t="s">
        <v>186</v>
      </c>
      <c r="B357">
        <v>60</v>
      </c>
      <c r="D357" t="s">
        <v>910</v>
      </c>
      <c r="E357" s="4">
        <f>SUM($F$9:G356)+0.1</f>
        <v>330.1</v>
      </c>
      <c r="J357" s="7" t="s">
        <v>1362</v>
      </c>
    </row>
    <row r="358" spans="1:10" x14ac:dyDescent="0.35">
      <c r="A358" s="1" t="s">
        <v>620</v>
      </c>
      <c r="B358">
        <v>60</v>
      </c>
      <c r="C358" t="s">
        <v>900</v>
      </c>
      <c r="E358" s="4">
        <f>SUM($F$9:G357)+0.1</f>
        <v>330.1</v>
      </c>
      <c r="J358" s="7" t="s">
        <v>1363</v>
      </c>
    </row>
    <row r="359" spans="1:10" x14ac:dyDescent="0.35">
      <c r="A359" s="1" t="s">
        <v>74</v>
      </c>
      <c r="B359">
        <v>60</v>
      </c>
      <c r="E359" s="4">
        <f>SUM($F$9:G358)+0.1</f>
        <v>330.1</v>
      </c>
      <c r="J359" s="7" t="s">
        <v>1364</v>
      </c>
    </row>
    <row r="360" spans="1:10" x14ac:dyDescent="0.35">
      <c r="A360" s="1" t="s">
        <v>312</v>
      </c>
      <c r="B360">
        <v>60</v>
      </c>
      <c r="E360" s="4">
        <f>SUM($F$9:G359)+0.1</f>
        <v>330.1</v>
      </c>
      <c r="J360" s="7" t="s">
        <v>1365</v>
      </c>
    </row>
    <row r="361" spans="1:10" x14ac:dyDescent="0.35">
      <c r="A361" s="13" t="s">
        <v>313</v>
      </c>
      <c r="B361">
        <v>60</v>
      </c>
      <c r="C361" t="s">
        <v>901</v>
      </c>
      <c r="E361" s="4">
        <f>SUM($F$9:G360)+0.1</f>
        <v>330.1</v>
      </c>
      <c r="F361">
        <v>1</v>
      </c>
      <c r="J361" s="7" t="s">
        <v>1366</v>
      </c>
    </row>
    <row r="362" spans="1:10" x14ac:dyDescent="0.35">
      <c r="A362" s="1" t="s">
        <v>865</v>
      </c>
      <c r="B362">
        <v>60</v>
      </c>
      <c r="C362">
        <v>1</v>
      </c>
      <c r="E362" s="4">
        <f>SUM($F$9:G361)+0.1</f>
        <v>331.1</v>
      </c>
      <c r="J362" s="7" t="s">
        <v>1367</v>
      </c>
    </row>
    <row r="363" spans="1:10" x14ac:dyDescent="0.35">
      <c r="A363" s="1" t="s">
        <v>315</v>
      </c>
      <c r="B363">
        <v>60</v>
      </c>
      <c r="E363" s="4">
        <f>SUM($F$9:G362)+0.1</f>
        <v>331.1</v>
      </c>
      <c r="J363" s="7" t="s">
        <v>1368</v>
      </c>
    </row>
    <row r="364" spans="1:10" x14ac:dyDescent="0.35">
      <c r="A364" s="1" t="s">
        <v>698</v>
      </c>
      <c r="B364">
        <v>60</v>
      </c>
      <c r="C364" t="s">
        <v>901</v>
      </c>
      <c r="E364" s="4">
        <f>SUM($F$9:G363)+0.1</f>
        <v>331.1</v>
      </c>
      <c r="J364" s="7" t="s">
        <v>1369</v>
      </c>
    </row>
    <row r="365" spans="1:10" x14ac:dyDescent="0.35">
      <c r="A365" s="1" t="s">
        <v>75</v>
      </c>
      <c r="B365">
        <v>60</v>
      </c>
      <c r="E365" s="4">
        <f>SUM($F$9:G364)+0.1</f>
        <v>331.1</v>
      </c>
      <c r="J365" s="7" t="s">
        <v>1370</v>
      </c>
    </row>
    <row r="366" spans="1:10" x14ac:dyDescent="0.35">
      <c r="A366" s="1" t="s">
        <v>1840</v>
      </c>
      <c r="E366" s="4">
        <f>SUM($F$9:G365)+0.1</f>
        <v>331.1</v>
      </c>
      <c r="J366" s="7" t="s">
        <v>1371</v>
      </c>
    </row>
    <row r="367" spans="1:10" x14ac:dyDescent="0.35">
      <c r="A367" s="1" t="s">
        <v>318</v>
      </c>
      <c r="B367">
        <v>60</v>
      </c>
      <c r="E367" s="4">
        <f>SUM($F$9:G366)+0.1</f>
        <v>331.1</v>
      </c>
      <c r="F367">
        <v>4</v>
      </c>
      <c r="J367" s="7" t="s">
        <v>1372</v>
      </c>
    </row>
    <row r="368" spans="1:10" x14ac:dyDescent="0.35">
      <c r="A368" s="1" t="s">
        <v>81</v>
      </c>
      <c r="E368" s="4">
        <f>SUM($F$9:G367)+0.1</f>
        <v>335.1</v>
      </c>
      <c r="J368" s="7" t="s">
        <v>1373</v>
      </c>
    </row>
    <row r="369" spans="1:10" x14ac:dyDescent="0.35">
      <c r="A369" s="1" t="s">
        <v>621</v>
      </c>
      <c r="B369">
        <v>60</v>
      </c>
      <c r="C369" t="s">
        <v>900</v>
      </c>
      <c r="E369" s="4">
        <f>SUM($F$9:G368)+0.1</f>
        <v>335.1</v>
      </c>
      <c r="J369" s="7" t="s">
        <v>1374</v>
      </c>
    </row>
    <row r="370" spans="1:10" x14ac:dyDescent="0.35">
      <c r="A370" s="1" t="s">
        <v>76</v>
      </c>
      <c r="B370">
        <v>60</v>
      </c>
      <c r="E370" s="4">
        <f>SUM($F$9:G369)+0.1</f>
        <v>335.1</v>
      </c>
      <c r="J370" s="7" t="s">
        <v>1375</v>
      </c>
    </row>
    <row r="371" spans="1:10" x14ac:dyDescent="0.35">
      <c r="A371" s="1" t="s">
        <v>1832</v>
      </c>
      <c r="E371" s="4">
        <f>SUM($F$9:G370)+0.1</f>
        <v>335.1</v>
      </c>
      <c r="J371" s="7" t="s">
        <v>1376</v>
      </c>
    </row>
    <row r="372" spans="1:10" x14ac:dyDescent="0.35">
      <c r="A372" s="1" t="s">
        <v>77</v>
      </c>
      <c r="B372">
        <v>60</v>
      </c>
      <c r="E372" s="4">
        <f>SUM($F$9:G371)+0.1</f>
        <v>335.1</v>
      </c>
      <c r="F372">
        <v>8</v>
      </c>
      <c r="J372" s="7" t="s">
        <v>1377</v>
      </c>
    </row>
    <row r="373" spans="1:10" x14ac:dyDescent="0.35">
      <c r="A373" s="1" t="s">
        <v>319</v>
      </c>
      <c r="B373">
        <v>60</v>
      </c>
      <c r="E373" s="4">
        <f>SUM($F$9:G372)+0.1</f>
        <v>343.1</v>
      </c>
      <c r="J373" s="7" t="s">
        <v>1378</v>
      </c>
    </row>
    <row r="374" spans="1:10" x14ac:dyDescent="0.35">
      <c r="A374" s="1" t="s">
        <v>320</v>
      </c>
      <c r="B374">
        <v>60</v>
      </c>
      <c r="C374" t="s">
        <v>900</v>
      </c>
      <c r="E374" s="4">
        <f>SUM($F$9:G373)+0.1</f>
        <v>343.1</v>
      </c>
      <c r="J374" s="7" t="s">
        <v>1379</v>
      </c>
    </row>
    <row r="375" spans="1:10" x14ac:dyDescent="0.35">
      <c r="A375" s="1" t="s">
        <v>406</v>
      </c>
      <c r="B375">
        <v>60</v>
      </c>
      <c r="E375" s="4">
        <f>SUM($F$9:G374)+0.1</f>
        <v>343.1</v>
      </c>
      <c r="F375">
        <v>2</v>
      </c>
      <c r="J375" s="7" t="s">
        <v>1380</v>
      </c>
    </row>
    <row r="376" spans="1:10" x14ac:dyDescent="0.35">
      <c r="A376" s="1" t="s">
        <v>321</v>
      </c>
      <c r="B376">
        <v>60</v>
      </c>
      <c r="C376" t="s">
        <v>901</v>
      </c>
      <c r="E376" s="4">
        <f>SUM($F$9:G375)+0.1</f>
        <v>345.1</v>
      </c>
      <c r="J376" s="7" t="s">
        <v>1381</v>
      </c>
    </row>
    <row r="377" spans="1:10" x14ac:dyDescent="0.35">
      <c r="A377" s="1" t="s">
        <v>322</v>
      </c>
      <c r="B377">
        <v>60</v>
      </c>
      <c r="C377" t="s">
        <v>900</v>
      </c>
      <c r="E377" s="4">
        <f>SUM($F$9:G376)+0.1</f>
        <v>345.1</v>
      </c>
      <c r="J377" s="7" t="s">
        <v>1382</v>
      </c>
    </row>
    <row r="378" spans="1:10" x14ac:dyDescent="0.35">
      <c r="A378" s="1" t="s">
        <v>165</v>
      </c>
      <c r="B378">
        <v>60</v>
      </c>
      <c r="E378" s="4">
        <f>SUM($F$9:G377)+0.1</f>
        <v>345.1</v>
      </c>
      <c r="J378" s="7" t="s">
        <v>1383</v>
      </c>
    </row>
    <row r="379" spans="1:10" x14ac:dyDescent="0.35">
      <c r="A379" s="1" t="s">
        <v>914</v>
      </c>
      <c r="B379">
        <v>60</v>
      </c>
      <c r="E379" s="4">
        <f>SUM($F$9:G378)+0.1</f>
        <v>345.1</v>
      </c>
      <c r="J379" s="7" t="s">
        <v>1384</v>
      </c>
    </row>
    <row r="380" spans="1:10" x14ac:dyDescent="0.35">
      <c r="A380" s="1" t="s">
        <v>808</v>
      </c>
      <c r="B380">
        <v>60</v>
      </c>
      <c r="C380" t="s">
        <v>901</v>
      </c>
      <c r="E380" s="4">
        <f>SUM($F$9:G379)+0.1</f>
        <v>345.1</v>
      </c>
      <c r="J380" s="7" t="s">
        <v>1385</v>
      </c>
    </row>
    <row r="381" spans="1:10" x14ac:dyDescent="0.35">
      <c r="A381" s="1" t="s">
        <v>911</v>
      </c>
      <c r="B381">
        <v>60</v>
      </c>
      <c r="C381" t="s">
        <v>903</v>
      </c>
      <c r="E381" s="4">
        <f>SUM($F$9:G380)+0.1</f>
        <v>345.1</v>
      </c>
      <c r="J381" s="7" t="s">
        <v>1386</v>
      </c>
    </row>
    <row r="382" spans="1:10" x14ac:dyDescent="0.35">
      <c r="A382" s="1" t="s">
        <v>324</v>
      </c>
      <c r="B382">
        <v>60</v>
      </c>
      <c r="E382" s="4">
        <f>SUM($F$9:G381)+0.1</f>
        <v>345.1</v>
      </c>
      <c r="J382" s="7" t="s">
        <v>1387</v>
      </c>
    </row>
    <row r="383" spans="1:10" x14ac:dyDescent="0.35">
      <c r="A383" s="1" t="s">
        <v>325</v>
      </c>
      <c r="B383">
        <v>60</v>
      </c>
      <c r="E383" s="4">
        <f>SUM($F$9:G382)+0.1</f>
        <v>345.1</v>
      </c>
      <c r="J383" s="7" t="s">
        <v>1388</v>
      </c>
    </row>
    <row r="384" spans="1:10" x14ac:dyDescent="0.35">
      <c r="A384" s="1" t="s">
        <v>78</v>
      </c>
      <c r="B384">
        <v>60</v>
      </c>
      <c r="C384" t="s">
        <v>901</v>
      </c>
      <c r="E384" s="4">
        <f>SUM($F$9:G383)+0.1</f>
        <v>345.1</v>
      </c>
      <c r="F384">
        <v>8</v>
      </c>
      <c r="J384" s="7" t="s">
        <v>1389</v>
      </c>
    </row>
    <row r="385" spans="1:10" x14ac:dyDescent="0.35">
      <c r="A385" s="1" t="s">
        <v>784</v>
      </c>
      <c r="B385">
        <v>60</v>
      </c>
      <c r="E385" s="4">
        <f>SUM($F$9:G384)+0.1</f>
        <v>353.1</v>
      </c>
      <c r="J385" s="7" t="s">
        <v>1390</v>
      </c>
    </row>
    <row r="386" spans="1:10" x14ac:dyDescent="0.35">
      <c r="A386" s="1" t="s">
        <v>647</v>
      </c>
      <c r="B386">
        <v>60</v>
      </c>
      <c r="E386" s="4">
        <f>SUM($F$9:G385)+0.1</f>
        <v>353.1</v>
      </c>
      <c r="F386">
        <v>10</v>
      </c>
      <c r="J386" s="7" t="s">
        <v>1391</v>
      </c>
    </row>
    <row r="387" spans="1:10" x14ac:dyDescent="0.35">
      <c r="A387" s="1" t="s">
        <v>809</v>
      </c>
      <c r="B387">
        <v>60</v>
      </c>
      <c r="C387" t="s">
        <v>901</v>
      </c>
      <c r="E387" s="4">
        <f>SUM($F$9:G386)+0.1</f>
        <v>363.1</v>
      </c>
      <c r="J387" s="7" t="s">
        <v>1392</v>
      </c>
    </row>
    <row r="388" spans="1:10" x14ac:dyDescent="0.35">
      <c r="A388" s="1" t="s">
        <v>82</v>
      </c>
      <c r="B388">
        <v>60</v>
      </c>
      <c r="D388" t="s">
        <v>120</v>
      </c>
      <c r="E388" s="4">
        <f>SUM($F$9:G387)+0.1</f>
        <v>363.1</v>
      </c>
      <c r="J388" s="7" t="s">
        <v>1393</v>
      </c>
    </row>
    <row r="389" spans="1:10" x14ac:dyDescent="0.35">
      <c r="A389" s="1" t="s">
        <v>184</v>
      </c>
      <c r="B389">
        <v>60</v>
      </c>
      <c r="E389" s="4">
        <f>SUM($F$9:G388)+0.1</f>
        <v>363.1</v>
      </c>
      <c r="J389" s="7" t="s">
        <v>1394</v>
      </c>
    </row>
    <row r="390" spans="1:10" x14ac:dyDescent="0.35">
      <c r="A390" s="1" t="s">
        <v>699</v>
      </c>
      <c r="B390">
        <v>60</v>
      </c>
      <c r="C390" t="s">
        <v>900</v>
      </c>
      <c r="E390" s="4">
        <f>SUM($F$9:G389)+0.1</f>
        <v>363.1</v>
      </c>
      <c r="J390" s="7" t="s">
        <v>1395</v>
      </c>
    </row>
    <row r="391" spans="1:10" x14ac:dyDescent="0.35">
      <c r="A391" s="12" t="s">
        <v>50</v>
      </c>
      <c r="B391" s="3"/>
      <c r="E391" s="4">
        <f>SUM($F$9:G390)+0.1</f>
        <v>363.1</v>
      </c>
      <c r="F391">
        <v>30</v>
      </c>
      <c r="J391" s="7" t="s">
        <v>1396</v>
      </c>
    </row>
    <row r="392" spans="1:10" x14ac:dyDescent="0.35">
      <c r="A392" s="1" t="s">
        <v>328</v>
      </c>
      <c r="B392">
        <v>60</v>
      </c>
      <c r="C392" t="s">
        <v>903</v>
      </c>
      <c r="E392" s="4">
        <f>SUM($F$9:G391)+0.1</f>
        <v>393.1</v>
      </c>
      <c r="J392" s="7" t="s">
        <v>1397</v>
      </c>
    </row>
    <row r="393" spans="1:10" x14ac:dyDescent="0.35">
      <c r="A393" s="1" t="s">
        <v>329</v>
      </c>
      <c r="B393">
        <v>60</v>
      </c>
      <c r="E393" s="4">
        <f>SUM($F$9:G392)+0.1</f>
        <v>393.1</v>
      </c>
      <c r="J393" s="7" t="s">
        <v>1398</v>
      </c>
    </row>
    <row r="394" spans="1:10" x14ac:dyDescent="0.35">
      <c r="A394" s="1" t="s">
        <v>330</v>
      </c>
      <c r="B394">
        <v>60</v>
      </c>
      <c r="C394" t="s">
        <v>900</v>
      </c>
      <c r="E394" s="4">
        <f>SUM($F$9:G393)+0.1</f>
        <v>393.1</v>
      </c>
      <c r="J394" s="9" t="s">
        <v>1399</v>
      </c>
    </row>
    <row r="395" spans="1:10" x14ac:dyDescent="0.35">
      <c r="A395" s="1" t="s">
        <v>83</v>
      </c>
      <c r="B395">
        <v>60</v>
      </c>
      <c r="C395" t="s">
        <v>900</v>
      </c>
      <c r="E395" s="4">
        <f>SUM($F$9:G394)+0.1</f>
        <v>393.1</v>
      </c>
      <c r="J395" s="9" t="s">
        <v>1400</v>
      </c>
    </row>
    <row r="396" spans="1:10" x14ac:dyDescent="0.35">
      <c r="A396" s="1" t="s">
        <v>84</v>
      </c>
      <c r="B396">
        <v>60</v>
      </c>
      <c r="E396" s="4">
        <f>SUM($F$9:G395)+0.1</f>
        <v>393.1</v>
      </c>
      <c r="J396" s="9" t="s">
        <v>1401</v>
      </c>
    </row>
    <row r="397" spans="1:10" x14ac:dyDescent="0.35">
      <c r="A397" s="1" t="s">
        <v>622</v>
      </c>
      <c r="B397">
        <v>60</v>
      </c>
      <c r="E397" s="4">
        <f>SUM($F$9:G396)+0.1</f>
        <v>393.1</v>
      </c>
      <c r="J397" s="9" t="s">
        <v>1402</v>
      </c>
    </row>
    <row r="398" spans="1:10" x14ac:dyDescent="0.35">
      <c r="A398" s="1" t="s">
        <v>331</v>
      </c>
      <c r="B398">
        <v>60</v>
      </c>
      <c r="C398">
        <v>1</v>
      </c>
      <c r="E398" s="4">
        <f>SUM($F$9:G397)+0.1</f>
        <v>393.1</v>
      </c>
      <c r="J398" s="9" t="s">
        <v>1403</v>
      </c>
    </row>
    <row r="399" spans="1:10" x14ac:dyDescent="0.35">
      <c r="A399" s="1" t="s">
        <v>810</v>
      </c>
      <c r="B399">
        <v>60</v>
      </c>
      <c r="C399" t="s">
        <v>900</v>
      </c>
      <c r="E399" s="4">
        <f>SUM($F$9:G398)+0.1</f>
        <v>393.1</v>
      </c>
      <c r="J399" s="9" t="s">
        <v>1404</v>
      </c>
    </row>
    <row r="400" spans="1:10" x14ac:dyDescent="0.35">
      <c r="A400" s="1" t="s">
        <v>332</v>
      </c>
      <c r="B400">
        <v>60</v>
      </c>
      <c r="C400" t="s">
        <v>901</v>
      </c>
      <c r="E400" s="4">
        <f>SUM($F$9:G399)+0.1</f>
        <v>393.1</v>
      </c>
      <c r="J400" s="10" t="s">
        <v>1405</v>
      </c>
    </row>
    <row r="401" spans="1:10" x14ac:dyDescent="0.35">
      <c r="A401" s="12" t="s">
        <v>333</v>
      </c>
      <c r="B401">
        <v>60</v>
      </c>
      <c r="E401" s="4">
        <f>SUM($F$9:G400)+0.1</f>
        <v>393.1</v>
      </c>
      <c r="F401">
        <v>15</v>
      </c>
      <c r="J401" s="11" t="s">
        <v>1406</v>
      </c>
    </row>
    <row r="402" spans="1:10" x14ac:dyDescent="0.35">
      <c r="A402" s="1" t="s">
        <v>811</v>
      </c>
      <c r="B402">
        <v>60</v>
      </c>
      <c r="E402" s="4">
        <f>SUM($F$9:G401)+0.1</f>
        <v>408.1</v>
      </c>
      <c r="F402">
        <v>8</v>
      </c>
      <c r="J402" s="10" t="s">
        <v>1407</v>
      </c>
    </row>
    <row r="403" spans="1:10" x14ac:dyDescent="0.35">
      <c r="A403" s="1" t="s">
        <v>86</v>
      </c>
      <c r="B403">
        <v>60</v>
      </c>
      <c r="E403" s="4">
        <f>SUM($F$9:G402)+0.1</f>
        <v>416.1</v>
      </c>
      <c r="F403">
        <v>1</v>
      </c>
      <c r="J403" s="10" t="s">
        <v>1408</v>
      </c>
    </row>
    <row r="404" spans="1:10" x14ac:dyDescent="0.35">
      <c r="A404" s="1" t="s">
        <v>335</v>
      </c>
      <c r="B404">
        <v>60</v>
      </c>
      <c r="C404" t="s">
        <v>900</v>
      </c>
      <c r="E404" s="4">
        <f>SUM($F$9:G403)+0.1</f>
        <v>417.1</v>
      </c>
      <c r="J404" s="10" t="s">
        <v>1409</v>
      </c>
    </row>
    <row r="405" spans="1:10" x14ac:dyDescent="0.35">
      <c r="A405" s="1" t="s">
        <v>785</v>
      </c>
      <c r="E405" s="4">
        <f>SUM($F$9:G404)+0.1</f>
        <v>417.1</v>
      </c>
      <c r="J405" s="11" t="s">
        <v>1410</v>
      </c>
    </row>
    <row r="406" spans="1:10" x14ac:dyDescent="0.35">
      <c r="A406" s="1" t="s">
        <v>703</v>
      </c>
      <c r="B406">
        <v>60</v>
      </c>
      <c r="C406" t="s">
        <v>901</v>
      </c>
      <c r="E406" s="4">
        <f>SUM($F$9:G405)+0.1</f>
        <v>417.1</v>
      </c>
      <c r="J406" s="10" t="s">
        <v>1411</v>
      </c>
    </row>
    <row r="407" spans="1:10" x14ac:dyDescent="0.35">
      <c r="A407" s="1" t="s">
        <v>836</v>
      </c>
      <c r="B407">
        <v>60</v>
      </c>
      <c r="E407" s="4">
        <f>SUM($F$9:G406)+0.1</f>
        <v>417.1</v>
      </c>
      <c r="F407">
        <v>3</v>
      </c>
      <c r="J407" s="10" t="s">
        <v>1412</v>
      </c>
    </row>
    <row r="408" spans="1:10" x14ac:dyDescent="0.35">
      <c r="A408" s="1" t="s">
        <v>410</v>
      </c>
      <c r="B408">
        <v>60</v>
      </c>
      <c r="C408" t="s">
        <v>900</v>
      </c>
      <c r="E408" s="4">
        <f>SUM($F$9:G407)+0.1</f>
        <v>420.1</v>
      </c>
      <c r="J408" s="10" t="s">
        <v>1413</v>
      </c>
    </row>
    <row r="409" spans="1:10" x14ac:dyDescent="0.35">
      <c r="A409" s="1" t="s">
        <v>409</v>
      </c>
      <c r="B409">
        <v>60</v>
      </c>
      <c r="C409" t="s">
        <v>900</v>
      </c>
      <c r="E409" s="4">
        <f>SUM($F$9:G408)+0.1</f>
        <v>420.1</v>
      </c>
      <c r="J409" s="10" t="s">
        <v>1414</v>
      </c>
    </row>
    <row r="410" spans="1:10" x14ac:dyDescent="0.35">
      <c r="A410" s="1" t="s">
        <v>193</v>
      </c>
      <c r="B410">
        <v>60</v>
      </c>
      <c r="D410" t="s">
        <v>902</v>
      </c>
      <c r="E410" s="4">
        <f>SUM($F$9:G409)+0.1</f>
        <v>420.1</v>
      </c>
      <c r="J410" s="11" t="s">
        <v>1415</v>
      </c>
    </row>
    <row r="411" spans="1:10" x14ac:dyDescent="0.35">
      <c r="A411" s="1" t="s">
        <v>856</v>
      </c>
      <c r="B411">
        <v>60</v>
      </c>
      <c r="E411" s="4">
        <f>SUM($F$9:G410)+0.1</f>
        <v>420.1</v>
      </c>
      <c r="J411" s="10" t="s">
        <v>1416</v>
      </c>
    </row>
    <row r="412" spans="1:10" x14ac:dyDescent="0.35">
      <c r="A412" s="12" t="s">
        <v>87</v>
      </c>
      <c r="B412">
        <v>60</v>
      </c>
      <c r="E412" s="4">
        <f>SUM($F$9:G411)+0.1</f>
        <v>420.1</v>
      </c>
      <c r="F412">
        <v>20</v>
      </c>
      <c r="J412" s="10" t="s">
        <v>1417</v>
      </c>
    </row>
    <row r="413" spans="1:10" x14ac:dyDescent="0.35">
      <c r="A413" s="1" t="s">
        <v>527</v>
      </c>
      <c r="B413">
        <v>60</v>
      </c>
      <c r="C413" t="s">
        <v>901</v>
      </c>
      <c r="E413" s="4">
        <f>SUM($F$9:G412)+0.1</f>
        <v>440.1</v>
      </c>
      <c r="J413" s="10" t="s">
        <v>1418</v>
      </c>
    </row>
    <row r="414" spans="1:10" x14ac:dyDescent="0.35">
      <c r="A414" s="1" t="s">
        <v>857</v>
      </c>
      <c r="B414">
        <v>60</v>
      </c>
      <c r="C414" t="s">
        <v>901</v>
      </c>
      <c r="E414" s="4">
        <f>SUM($F$9:G413)+0.1</f>
        <v>440.1</v>
      </c>
      <c r="J414" s="10" t="s">
        <v>1419</v>
      </c>
    </row>
    <row r="415" spans="1:10" x14ac:dyDescent="0.35">
      <c r="A415" s="1" t="s">
        <v>786</v>
      </c>
      <c r="E415" s="4">
        <f>SUM($F$9:G414)+0.1</f>
        <v>440.1</v>
      </c>
      <c r="J415" s="11" t="s">
        <v>1420</v>
      </c>
    </row>
    <row r="416" spans="1:10" x14ac:dyDescent="0.35">
      <c r="A416" s="1" t="s">
        <v>337</v>
      </c>
      <c r="B416">
        <v>60</v>
      </c>
      <c r="C416" t="s">
        <v>900</v>
      </c>
      <c r="E416" s="4">
        <f>SUM($F$9:G415)+0.1</f>
        <v>440.1</v>
      </c>
      <c r="J416" s="10" t="s">
        <v>1421</v>
      </c>
    </row>
    <row r="417" spans="1:10" x14ac:dyDescent="0.35">
      <c r="A417" s="1" t="s">
        <v>626</v>
      </c>
      <c r="B417">
        <v>60</v>
      </c>
      <c r="C417" t="s">
        <v>900</v>
      </c>
      <c r="E417" s="4">
        <f>SUM($F$9:G416)+0.1</f>
        <v>440.1</v>
      </c>
      <c r="J417" s="10" t="s">
        <v>1422</v>
      </c>
    </row>
    <row r="418" spans="1:10" x14ac:dyDescent="0.35">
      <c r="A418" s="1" t="s">
        <v>744</v>
      </c>
      <c r="B418">
        <v>60</v>
      </c>
      <c r="C418" t="s">
        <v>901</v>
      </c>
      <c r="E418" s="4">
        <f>SUM($F$9:G417)+0.1</f>
        <v>440.1</v>
      </c>
      <c r="J418" s="10" t="s">
        <v>1423</v>
      </c>
    </row>
    <row r="419" spans="1:10" x14ac:dyDescent="0.35">
      <c r="A419" s="1" t="s">
        <v>868</v>
      </c>
      <c r="B419">
        <v>60</v>
      </c>
      <c r="E419" s="4">
        <f>SUM($F$9:G418)+0.1</f>
        <v>440.1</v>
      </c>
      <c r="J419" s="10" t="s">
        <v>1424</v>
      </c>
    </row>
    <row r="420" spans="1:10" x14ac:dyDescent="0.35">
      <c r="A420" s="1" t="s">
        <v>705</v>
      </c>
      <c r="B420">
        <v>60</v>
      </c>
      <c r="E420" s="4">
        <f>SUM($F$9:G419)+0.1</f>
        <v>440.1</v>
      </c>
      <c r="J420" s="10" t="s">
        <v>1425</v>
      </c>
    </row>
    <row r="421" spans="1:10" x14ac:dyDescent="0.35">
      <c r="A421" s="1" t="s">
        <v>180</v>
      </c>
      <c r="B421">
        <v>60</v>
      </c>
      <c r="E421" s="4">
        <f>SUM($F$9:G420)+0.1</f>
        <v>440.1</v>
      </c>
      <c r="J421" s="10" t="s">
        <v>1426</v>
      </c>
    </row>
    <row r="422" spans="1:10" x14ac:dyDescent="0.35">
      <c r="A422" s="1" t="s">
        <v>530</v>
      </c>
      <c r="B422">
        <v>60</v>
      </c>
      <c r="E422" s="4">
        <f>SUM($F$9:G421)+0.1</f>
        <v>440.1</v>
      </c>
      <c r="J422" s="10" t="s">
        <v>1427</v>
      </c>
    </row>
    <row r="423" spans="1:10" x14ac:dyDescent="0.35">
      <c r="A423" s="1" t="s">
        <v>706</v>
      </c>
      <c r="B423">
        <v>60</v>
      </c>
      <c r="E423" s="4">
        <f>SUM($F$9:G422)+0.1</f>
        <v>440.1</v>
      </c>
      <c r="J423" s="11" t="s">
        <v>1428</v>
      </c>
    </row>
    <row r="424" spans="1:10" x14ac:dyDescent="0.35">
      <c r="A424" s="1" t="s">
        <v>341</v>
      </c>
      <c r="B424">
        <v>60</v>
      </c>
      <c r="C424" t="s">
        <v>900</v>
      </c>
      <c r="E424" s="4">
        <f>SUM($F$9:G423)+0.1</f>
        <v>440.1</v>
      </c>
      <c r="J424" s="10" t="s">
        <v>1429</v>
      </c>
    </row>
    <row r="425" spans="1:10" x14ac:dyDescent="0.35">
      <c r="A425" s="1" t="s">
        <v>88</v>
      </c>
      <c r="B425">
        <v>60</v>
      </c>
      <c r="E425" s="4">
        <f>SUM($F$9:G424)+0.1</f>
        <v>440.1</v>
      </c>
      <c r="J425" s="10" t="s">
        <v>1430</v>
      </c>
    </row>
    <row r="426" spans="1:10" x14ac:dyDescent="0.35">
      <c r="A426" s="1" t="s">
        <v>342</v>
      </c>
      <c r="B426">
        <v>60</v>
      </c>
      <c r="D426" t="s">
        <v>88</v>
      </c>
      <c r="E426" s="4">
        <f>SUM($F$9:G425)+0.1</f>
        <v>440.1</v>
      </c>
      <c r="J426" s="10" t="s">
        <v>1431</v>
      </c>
    </row>
    <row r="427" spans="1:10" x14ac:dyDescent="0.35">
      <c r="A427" s="1" t="s">
        <v>90</v>
      </c>
      <c r="B427">
        <v>60</v>
      </c>
      <c r="E427" s="4">
        <f>SUM($F$9:G426)+0.1</f>
        <v>440.1</v>
      </c>
      <c r="J427" s="10" t="s">
        <v>1432</v>
      </c>
    </row>
    <row r="428" spans="1:10" x14ac:dyDescent="0.35">
      <c r="A428" s="1" t="s">
        <v>858</v>
      </c>
      <c r="B428">
        <v>60</v>
      </c>
      <c r="E428" s="4">
        <f>SUM($F$9:G427)+0.1</f>
        <v>440.1</v>
      </c>
      <c r="J428" s="11" t="s">
        <v>1433</v>
      </c>
    </row>
    <row r="429" spans="1:10" x14ac:dyDescent="0.35">
      <c r="A429" s="1" t="s">
        <v>91</v>
      </c>
      <c r="B429">
        <v>60</v>
      </c>
      <c r="E429" s="4">
        <f>SUM($F$9:G428)+0.1</f>
        <v>440.1</v>
      </c>
      <c r="J429" s="10" t="s">
        <v>1434</v>
      </c>
    </row>
    <row r="430" spans="1:10" x14ac:dyDescent="0.35">
      <c r="A430" s="1" t="s">
        <v>344</v>
      </c>
      <c r="B430">
        <v>60</v>
      </c>
      <c r="E430" s="4">
        <f>SUM($F$9:G429)+0.1</f>
        <v>440.1</v>
      </c>
      <c r="J430" s="10" t="s">
        <v>1435</v>
      </c>
    </row>
    <row r="431" spans="1:10" x14ac:dyDescent="0.35">
      <c r="A431" s="1" t="s">
        <v>838</v>
      </c>
      <c r="B431">
        <v>60</v>
      </c>
      <c r="E431" s="4">
        <f>SUM($F$9:G430)+0.1</f>
        <v>440.1</v>
      </c>
      <c r="J431" s="10" t="s">
        <v>1436</v>
      </c>
    </row>
    <row r="432" spans="1:10" x14ac:dyDescent="0.35">
      <c r="A432" s="1" t="s">
        <v>745</v>
      </c>
      <c r="B432">
        <v>60</v>
      </c>
      <c r="E432" s="4">
        <f>SUM($F$9:G431)+0.1</f>
        <v>440.1</v>
      </c>
      <c r="J432" s="10" t="s">
        <v>1437</v>
      </c>
    </row>
    <row r="433" spans="1:10" x14ac:dyDescent="0.35">
      <c r="A433" s="1" t="s">
        <v>92</v>
      </c>
      <c r="B433">
        <v>60</v>
      </c>
      <c r="E433" s="4">
        <f>SUM($F$9:G432)+0.1</f>
        <v>440.1</v>
      </c>
      <c r="J433" s="11" t="s">
        <v>1438</v>
      </c>
    </row>
    <row r="434" spans="1:10" x14ac:dyDescent="0.35">
      <c r="A434" s="1" t="s">
        <v>206</v>
      </c>
      <c r="B434">
        <v>60</v>
      </c>
      <c r="E434" s="4">
        <f>SUM($F$9:G433)+0.1</f>
        <v>440.1</v>
      </c>
      <c r="J434" s="10" t="s">
        <v>1439</v>
      </c>
    </row>
    <row r="435" spans="1:10" x14ac:dyDescent="0.35">
      <c r="A435" s="1" t="s">
        <v>93</v>
      </c>
      <c r="B435">
        <v>60</v>
      </c>
      <c r="C435" t="s">
        <v>901</v>
      </c>
      <c r="E435" s="4">
        <f>SUM($F$9:G434)+0.1</f>
        <v>440.1</v>
      </c>
      <c r="J435" s="10" t="s">
        <v>1440</v>
      </c>
    </row>
    <row r="436" spans="1:10" x14ac:dyDescent="0.35">
      <c r="A436" s="1" t="s">
        <v>345</v>
      </c>
      <c r="B436">
        <v>60</v>
      </c>
      <c r="C436" t="s">
        <v>900</v>
      </c>
      <c r="E436" s="4">
        <f>SUM($F$9:G435)+0.1</f>
        <v>440.1</v>
      </c>
      <c r="J436" s="10" t="s">
        <v>1441</v>
      </c>
    </row>
    <row r="437" spans="1:10" x14ac:dyDescent="0.35">
      <c r="A437" s="1" t="s">
        <v>346</v>
      </c>
      <c r="B437">
        <v>60</v>
      </c>
      <c r="C437" t="s">
        <v>900</v>
      </c>
      <c r="E437" s="4">
        <f>SUM($F$9:G436)+0.1</f>
        <v>440.1</v>
      </c>
      <c r="J437" s="10" t="s">
        <v>1442</v>
      </c>
    </row>
    <row r="438" spans="1:10" x14ac:dyDescent="0.35">
      <c r="A438" s="1" t="s">
        <v>746</v>
      </c>
      <c r="B438">
        <v>60</v>
      </c>
      <c r="C438" t="s">
        <v>900</v>
      </c>
      <c r="E438" s="4">
        <f>SUM($F$9:G437)+0.1</f>
        <v>440.1</v>
      </c>
      <c r="J438" s="11" t="s">
        <v>1443</v>
      </c>
    </row>
    <row r="439" spans="1:10" x14ac:dyDescent="0.35">
      <c r="A439" s="1" t="s">
        <v>747</v>
      </c>
      <c r="B439">
        <v>60</v>
      </c>
      <c r="E439" s="4">
        <f>SUM($F$9:G438)+0.1</f>
        <v>440.1</v>
      </c>
      <c r="J439" s="10" t="s">
        <v>1444</v>
      </c>
    </row>
    <row r="440" spans="1:10" x14ac:dyDescent="0.35">
      <c r="A440" s="1" t="s">
        <v>1851</v>
      </c>
      <c r="E440" s="4">
        <f>SUM($F$9:G439)+0.1</f>
        <v>440.1</v>
      </c>
      <c r="J440" s="10" t="s">
        <v>1445</v>
      </c>
    </row>
    <row r="441" spans="1:10" x14ac:dyDescent="0.35">
      <c r="A441" s="1" t="s">
        <v>627</v>
      </c>
      <c r="B441">
        <v>60</v>
      </c>
      <c r="E441" s="4">
        <f>SUM($F$9:G440)+0.1</f>
        <v>440.1</v>
      </c>
      <c r="F441">
        <v>2</v>
      </c>
      <c r="J441" s="10" t="s">
        <v>1446</v>
      </c>
    </row>
    <row r="442" spans="1:10" x14ac:dyDescent="0.35">
      <c r="A442" s="1" t="s">
        <v>411</v>
      </c>
      <c r="B442">
        <v>60</v>
      </c>
      <c r="E442" s="4">
        <f>SUM($F$9:G441)+0.1</f>
        <v>442.1</v>
      </c>
      <c r="J442" s="10" t="s">
        <v>1447</v>
      </c>
    </row>
    <row r="443" spans="1:10" x14ac:dyDescent="0.35">
      <c r="A443" s="1" t="s">
        <v>748</v>
      </c>
      <c r="B443">
        <v>60</v>
      </c>
      <c r="E443" s="4">
        <f>SUM($F$9:G442)+0.1</f>
        <v>442.1</v>
      </c>
      <c r="J443" s="11" t="s">
        <v>1448</v>
      </c>
    </row>
    <row r="444" spans="1:10" x14ac:dyDescent="0.35">
      <c r="A444" s="1" t="s">
        <v>890</v>
      </c>
      <c r="B444">
        <v>60</v>
      </c>
      <c r="C444" t="s">
        <v>901</v>
      </c>
      <c r="D444" t="s">
        <v>912</v>
      </c>
      <c r="E444" s="4">
        <f>SUM($F$9:G443)+0.1</f>
        <v>442.1</v>
      </c>
      <c r="J444" s="9" t="s">
        <v>1449</v>
      </c>
    </row>
    <row r="445" spans="1:10" x14ac:dyDescent="0.35">
      <c r="A445" s="1" t="s">
        <v>166</v>
      </c>
      <c r="B445">
        <v>60</v>
      </c>
      <c r="E445" s="4">
        <f>SUM($F$9:G444)+0.1</f>
        <v>442.1</v>
      </c>
      <c r="J445" s="9" t="s">
        <v>1450</v>
      </c>
    </row>
    <row r="446" spans="1:10" x14ac:dyDescent="0.35">
      <c r="A446" s="1" t="s">
        <v>94</v>
      </c>
      <c r="B446">
        <v>60</v>
      </c>
      <c r="E446" s="4">
        <f>SUM($F$9:G445)+0.1</f>
        <v>442.1</v>
      </c>
      <c r="J446" s="9" t="s">
        <v>1451</v>
      </c>
    </row>
    <row r="447" spans="1:10" x14ac:dyDescent="0.35">
      <c r="A447" s="1" t="s">
        <v>1852</v>
      </c>
      <c r="E447" s="4">
        <f>SUM($F$9:G446)+0.1</f>
        <v>442.1</v>
      </c>
      <c r="J447" s="11" t="s">
        <v>1452</v>
      </c>
    </row>
    <row r="448" spans="1:10" x14ac:dyDescent="0.35">
      <c r="A448" s="1" t="s">
        <v>859</v>
      </c>
      <c r="B448">
        <v>60</v>
      </c>
      <c r="E448" s="4">
        <f>SUM($F$9:G447)+0.1</f>
        <v>442.1</v>
      </c>
      <c r="F448">
        <v>1</v>
      </c>
      <c r="J448" s="9" t="s">
        <v>1453</v>
      </c>
    </row>
    <row r="449" spans="1:10" x14ac:dyDescent="0.35">
      <c r="A449" s="1" t="s">
        <v>533</v>
      </c>
      <c r="B449">
        <v>60</v>
      </c>
      <c r="E449" s="4">
        <f>SUM($F$9:G448)+0.1</f>
        <v>443.1</v>
      </c>
      <c r="J449" s="9" t="s">
        <v>1454</v>
      </c>
    </row>
    <row r="450" spans="1:10" x14ac:dyDescent="0.35">
      <c r="A450" s="1" t="s">
        <v>95</v>
      </c>
      <c r="B450">
        <v>60</v>
      </c>
      <c r="E450" s="4">
        <f>SUM($F$9:G449)+0.1</f>
        <v>443.1</v>
      </c>
      <c r="F450">
        <v>1</v>
      </c>
      <c r="J450" s="9" t="s">
        <v>1455</v>
      </c>
    </row>
    <row r="451" spans="1:10" x14ac:dyDescent="0.35">
      <c r="A451" s="1" t="s">
        <v>412</v>
      </c>
      <c r="B451">
        <v>60</v>
      </c>
      <c r="E451" s="4">
        <f>SUM($F$9:G450)+0.1</f>
        <v>444.1</v>
      </c>
      <c r="J451" s="11" t="s">
        <v>1456</v>
      </c>
    </row>
    <row r="452" spans="1:10" x14ac:dyDescent="0.35">
      <c r="A452" s="13" t="s">
        <v>96</v>
      </c>
      <c r="B452">
        <v>60</v>
      </c>
      <c r="E452" s="4">
        <f>SUM($F$9:G451)+0.1</f>
        <v>444.1</v>
      </c>
      <c r="J452" s="9" t="s">
        <v>1457</v>
      </c>
    </row>
    <row r="453" spans="1:10" x14ac:dyDescent="0.35">
      <c r="A453" s="1" t="s">
        <v>628</v>
      </c>
      <c r="B453">
        <v>60</v>
      </c>
      <c r="D453" t="s">
        <v>96</v>
      </c>
      <c r="E453" s="4">
        <f>SUM($F$9:G452)+0.1</f>
        <v>444.1</v>
      </c>
      <c r="F453">
        <v>20</v>
      </c>
      <c r="J453" s="9" t="s">
        <v>1458</v>
      </c>
    </row>
    <row r="454" spans="1:10" x14ac:dyDescent="0.35">
      <c r="A454" s="1" t="s">
        <v>570</v>
      </c>
      <c r="B454">
        <v>60</v>
      </c>
      <c r="E454" s="4">
        <f>SUM($F$9:G453)+0.1</f>
        <v>464.1</v>
      </c>
      <c r="J454" s="11" t="s">
        <v>1459</v>
      </c>
    </row>
    <row r="455" spans="1:10" x14ac:dyDescent="0.35">
      <c r="A455" s="1" t="s">
        <v>707</v>
      </c>
      <c r="B455">
        <v>60</v>
      </c>
      <c r="C455" t="s">
        <v>901</v>
      </c>
      <c r="E455" s="4">
        <f>SUM($F$9:G454)+0.1</f>
        <v>464.1</v>
      </c>
      <c r="J455" s="9" t="s">
        <v>1460</v>
      </c>
    </row>
    <row r="456" spans="1:10" x14ac:dyDescent="0.35">
      <c r="A456" s="1" t="s">
        <v>349</v>
      </c>
      <c r="B456">
        <v>60</v>
      </c>
      <c r="C456" t="s">
        <v>900</v>
      </c>
      <c r="E456" s="4">
        <f>SUM($F$9:G455)+0.1</f>
        <v>464.1</v>
      </c>
      <c r="J456" s="9" t="s">
        <v>1461</v>
      </c>
    </row>
    <row r="457" spans="1:10" x14ac:dyDescent="0.35">
      <c r="A457" s="1" t="s">
        <v>350</v>
      </c>
      <c r="B457">
        <v>60</v>
      </c>
      <c r="C457" t="s">
        <v>900</v>
      </c>
      <c r="E457" s="4">
        <f>SUM($F$9:G456)+0.1</f>
        <v>464.1</v>
      </c>
      <c r="J457" s="11" t="s">
        <v>1462</v>
      </c>
    </row>
    <row r="458" spans="1:10" x14ac:dyDescent="0.35">
      <c r="A458" s="1" t="s">
        <v>351</v>
      </c>
      <c r="B458">
        <v>60</v>
      </c>
      <c r="C458" t="s">
        <v>900</v>
      </c>
      <c r="E458" s="4">
        <f>SUM($F$9:G457)+0.1</f>
        <v>464.1</v>
      </c>
      <c r="J458" s="9" t="s">
        <v>1463</v>
      </c>
    </row>
    <row r="459" spans="1:10" x14ac:dyDescent="0.35">
      <c r="A459" s="1" t="s">
        <v>629</v>
      </c>
      <c r="B459">
        <v>60</v>
      </c>
      <c r="E459" s="4">
        <f>SUM($F$9:G458)+0.1</f>
        <v>464.1</v>
      </c>
      <c r="F459">
        <v>2</v>
      </c>
      <c r="J459" s="9" t="s">
        <v>1464</v>
      </c>
    </row>
    <row r="460" spans="1:10" x14ac:dyDescent="0.35">
      <c r="A460" s="1" t="s">
        <v>97</v>
      </c>
      <c r="B460">
        <v>60</v>
      </c>
      <c r="E460" s="4">
        <f>SUM($F$9:G459)+0.1</f>
        <v>466.1</v>
      </c>
      <c r="J460" s="9" t="s">
        <v>1465</v>
      </c>
    </row>
    <row r="461" spans="1:10" x14ac:dyDescent="0.35">
      <c r="A461" s="1" t="s">
        <v>534</v>
      </c>
      <c r="B461">
        <v>60</v>
      </c>
      <c r="E461" s="4">
        <f>SUM($F$9:G460)+0.1</f>
        <v>466.1</v>
      </c>
      <c r="J461" s="9" t="s">
        <v>1466</v>
      </c>
    </row>
    <row r="462" spans="1:10" x14ac:dyDescent="0.35">
      <c r="A462" s="1" t="s">
        <v>709</v>
      </c>
      <c r="B462">
        <v>60</v>
      </c>
      <c r="E462" s="4">
        <f>SUM($F$9:G461)+0.1</f>
        <v>466.1</v>
      </c>
      <c r="J462" s="9" t="s">
        <v>1467</v>
      </c>
    </row>
    <row r="463" spans="1:10" x14ac:dyDescent="0.35">
      <c r="A463" s="1" t="s">
        <v>352</v>
      </c>
      <c r="B463">
        <v>60</v>
      </c>
      <c r="E463" s="4">
        <f>SUM($F$9:G462)+0.1</f>
        <v>466.1</v>
      </c>
      <c r="F463">
        <v>1</v>
      </c>
      <c r="J463" s="9" t="s">
        <v>1468</v>
      </c>
    </row>
    <row r="464" spans="1:10" x14ac:dyDescent="0.35">
      <c r="A464" s="1" t="s">
        <v>212</v>
      </c>
      <c r="B464">
        <v>60</v>
      </c>
      <c r="E464" s="4">
        <f>SUM($F$9:G463)+0.1</f>
        <v>467.1</v>
      </c>
      <c r="J464" s="9" t="s">
        <v>1469</v>
      </c>
    </row>
    <row r="465" spans="1:10" x14ac:dyDescent="0.35">
      <c r="A465" s="1" t="s">
        <v>98</v>
      </c>
      <c r="B465">
        <v>60</v>
      </c>
      <c r="C465" t="s">
        <v>901</v>
      </c>
      <c r="D465" t="s">
        <v>13</v>
      </c>
      <c r="E465" s="4">
        <f>SUM($F$9:G464)+0.1</f>
        <v>467.1</v>
      </c>
      <c r="J465" s="9" t="s">
        <v>1470</v>
      </c>
    </row>
    <row r="466" spans="1:10" x14ac:dyDescent="0.35">
      <c r="A466" s="1" t="s">
        <v>353</v>
      </c>
      <c r="B466">
        <v>60</v>
      </c>
      <c r="C466" t="s">
        <v>901</v>
      </c>
      <c r="E466" s="4">
        <f>SUM($F$9:G465)+0.1</f>
        <v>467.1</v>
      </c>
      <c r="J466" s="9" t="s">
        <v>1471</v>
      </c>
    </row>
    <row r="467" spans="1:10" x14ac:dyDescent="0.35">
      <c r="A467" s="1" t="s">
        <v>813</v>
      </c>
      <c r="B467">
        <v>60</v>
      </c>
      <c r="E467" s="4">
        <f>SUM($F$9:G466)+0.1</f>
        <v>467.1</v>
      </c>
      <c r="J467" s="9" t="s">
        <v>1472</v>
      </c>
    </row>
    <row r="468" spans="1:10" x14ac:dyDescent="0.35">
      <c r="A468" s="1" t="s">
        <v>99</v>
      </c>
      <c r="B468">
        <v>60</v>
      </c>
      <c r="C468" t="s">
        <v>901</v>
      </c>
      <c r="E468" s="4">
        <f>SUM($F$9:G467)+0.1</f>
        <v>467.1</v>
      </c>
      <c r="F468">
        <v>2</v>
      </c>
      <c r="J468" s="9" t="s">
        <v>1473</v>
      </c>
    </row>
    <row r="469" spans="1:10" x14ac:dyDescent="0.35">
      <c r="A469" s="1" t="s">
        <v>535</v>
      </c>
      <c r="B469">
        <v>60</v>
      </c>
      <c r="E469" s="4">
        <f>SUM($F$9:G468)+0.1</f>
        <v>469.1</v>
      </c>
      <c r="J469" s="9" t="s">
        <v>1474</v>
      </c>
    </row>
    <row r="470" spans="1:10" x14ac:dyDescent="0.35">
      <c r="A470" s="1" t="s">
        <v>630</v>
      </c>
      <c r="B470">
        <v>60</v>
      </c>
      <c r="E470" s="4">
        <f>SUM($F$9:G469)+0.1</f>
        <v>469.1</v>
      </c>
      <c r="J470" s="9" t="s">
        <v>1475</v>
      </c>
    </row>
    <row r="471" spans="1:10" x14ac:dyDescent="0.35">
      <c r="A471" s="1" t="s">
        <v>355</v>
      </c>
      <c r="B471">
        <v>60</v>
      </c>
      <c r="E471" s="4">
        <f>SUM($F$9:G470)+0.1</f>
        <v>469.1</v>
      </c>
      <c r="J471" s="9" t="s">
        <v>1476</v>
      </c>
    </row>
    <row r="472" spans="1:10" x14ac:dyDescent="0.35">
      <c r="A472" s="1" t="s">
        <v>101</v>
      </c>
      <c r="B472">
        <v>60</v>
      </c>
      <c r="E472" s="4">
        <f>SUM($F$9:G471)+0.1</f>
        <v>469.1</v>
      </c>
      <c r="J472" s="9" t="s">
        <v>1477</v>
      </c>
    </row>
    <row r="473" spans="1:10" x14ac:dyDescent="0.35">
      <c r="A473" s="1" t="s">
        <v>711</v>
      </c>
      <c r="B473">
        <v>60</v>
      </c>
      <c r="E473" s="4">
        <f>SUM($F$9:G472)+0.1</f>
        <v>469.1</v>
      </c>
      <c r="F473">
        <v>3</v>
      </c>
      <c r="J473" s="9" t="s">
        <v>1478</v>
      </c>
    </row>
    <row r="474" spans="1:10" x14ac:dyDescent="0.35">
      <c r="A474" s="1" t="s">
        <v>750</v>
      </c>
      <c r="B474">
        <v>60</v>
      </c>
      <c r="C474" t="s">
        <v>900</v>
      </c>
      <c r="E474" s="4">
        <f>SUM($F$9:G473)+0.1</f>
        <v>472.1</v>
      </c>
      <c r="J474" s="9" t="s">
        <v>1479</v>
      </c>
    </row>
    <row r="475" spans="1:10" x14ac:dyDescent="0.35">
      <c r="A475" s="1" t="s">
        <v>648</v>
      </c>
      <c r="B475">
        <v>60</v>
      </c>
      <c r="C475">
        <v>1</v>
      </c>
      <c r="E475" s="4">
        <f>SUM($F$9:G474)+0.1</f>
        <v>472.1</v>
      </c>
      <c r="J475" s="9" t="s">
        <v>1480</v>
      </c>
    </row>
    <row r="476" spans="1:10" x14ac:dyDescent="0.35">
      <c r="A476" s="1" t="s">
        <v>712</v>
      </c>
      <c r="B476">
        <v>60</v>
      </c>
      <c r="E476" s="4">
        <f>SUM($F$9:G475)+0.1</f>
        <v>472.1</v>
      </c>
      <c r="J476" s="9" t="s">
        <v>1481</v>
      </c>
    </row>
    <row r="477" spans="1:10" x14ac:dyDescent="0.35">
      <c r="A477" s="1" t="s">
        <v>414</v>
      </c>
      <c r="B477">
        <v>60</v>
      </c>
      <c r="C477" t="s">
        <v>900</v>
      </c>
      <c r="E477" s="4">
        <f>SUM($F$9:G476)+0.1</f>
        <v>472.1</v>
      </c>
      <c r="J477" s="9" t="s">
        <v>1482</v>
      </c>
    </row>
    <row r="478" spans="1:10" x14ac:dyDescent="0.35">
      <c r="A478" s="1" t="s">
        <v>357</v>
      </c>
      <c r="B478">
        <v>60</v>
      </c>
      <c r="C478" t="s">
        <v>901</v>
      </c>
      <c r="E478" s="4">
        <f>SUM($F$9:G477)+0.1</f>
        <v>472.1</v>
      </c>
      <c r="J478" s="9" t="s">
        <v>1483</v>
      </c>
    </row>
    <row r="479" spans="1:10" x14ac:dyDescent="0.35">
      <c r="A479" s="1" t="s">
        <v>102</v>
      </c>
      <c r="B479">
        <v>60</v>
      </c>
      <c r="C479" t="s">
        <v>900</v>
      </c>
      <c r="E479" s="4">
        <f>SUM($F$9:G478)+0.1</f>
        <v>472.1</v>
      </c>
      <c r="J479" s="9" t="s">
        <v>1484</v>
      </c>
    </row>
    <row r="480" spans="1:10" x14ac:dyDescent="0.35">
      <c r="A480" s="1" t="s">
        <v>713</v>
      </c>
      <c r="B480">
        <v>60</v>
      </c>
      <c r="C480" t="s">
        <v>900</v>
      </c>
      <c r="E480" s="4">
        <f>SUM($F$9:G479)+0.1</f>
        <v>472.1</v>
      </c>
      <c r="J480" s="9" t="s">
        <v>1485</v>
      </c>
    </row>
    <row r="481" spans="1:10" x14ac:dyDescent="0.35">
      <c r="A481" s="1" t="s">
        <v>751</v>
      </c>
      <c r="B481">
        <v>60</v>
      </c>
      <c r="C481" t="s">
        <v>901</v>
      </c>
      <c r="E481" s="4">
        <f>SUM($F$9:G480)+0.1</f>
        <v>472.1</v>
      </c>
      <c r="J481" s="9" t="s">
        <v>1486</v>
      </c>
    </row>
    <row r="482" spans="1:10" x14ac:dyDescent="0.35">
      <c r="A482" s="1" t="s">
        <v>860</v>
      </c>
      <c r="B482">
        <v>60</v>
      </c>
      <c r="E482" s="4">
        <f>SUM($F$9:G481)+0.1</f>
        <v>472.1</v>
      </c>
      <c r="F482">
        <v>7</v>
      </c>
      <c r="J482" s="9" t="s">
        <v>1487</v>
      </c>
    </row>
    <row r="483" spans="1:10" x14ac:dyDescent="0.35">
      <c r="A483" s="1" t="s">
        <v>415</v>
      </c>
      <c r="B483">
        <v>60</v>
      </c>
      <c r="E483" s="4">
        <f>SUM($F$9:G482)+0.1</f>
        <v>479.1</v>
      </c>
      <c r="J483" s="9" t="s">
        <v>1488</v>
      </c>
    </row>
    <row r="484" spans="1:10" x14ac:dyDescent="0.35">
      <c r="A484" s="1" t="s">
        <v>632</v>
      </c>
      <c r="B484">
        <v>60</v>
      </c>
      <c r="E484" s="4">
        <f>SUM($F$9:G483)+0.1</f>
        <v>479.1</v>
      </c>
      <c r="J484" s="9" t="s">
        <v>1489</v>
      </c>
    </row>
    <row r="485" spans="1:10" x14ac:dyDescent="0.35">
      <c r="A485" s="1" t="s">
        <v>633</v>
      </c>
      <c r="B485">
        <v>60</v>
      </c>
      <c r="E485" s="4">
        <f>SUM($F$9:G484)+0.1</f>
        <v>479.1</v>
      </c>
      <c r="J485" s="9" t="s">
        <v>1490</v>
      </c>
    </row>
    <row r="486" spans="1:10" x14ac:dyDescent="0.35">
      <c r="A486" s="1" t="s">
        <v>162</v>
      </c>
      <c r="B486">
        <v>60</v>
      </c>
      <c r="E486" s="4">
        <f>SUM($F$9:G485)+0.1</f>
        <v>479.1</v>
      </c>
      <c r="J486" s="9" t="s">
        <v>1491</v>
      </c>
    </row>
    <row r="487" spans="1:10" x14ac:dyDescent="0.35">
      <c r="A487" s="1" t="s">
        <v>634</v>
      </c>
      <c r="B487">
        <v>60</v>
      </c>
      <c r="E487" s="4">
        <f>SUM($F$9:G486)+0.1</f>
        <v>479.1</v>
      </c>
      <c r="J487" s="9" t="s">
        <v>1492</v>
      </c>
    </row>
    <row r="488" spans="1:10" x14ac:dyDescent="0.35">
      <c r="A488" s="1" t="s">
        <v>869</v>
      </c>
      <c r="B488">
        <v>60</v>
      </c>
      <c r="C488" t="s">
        <v>901</v>
      </c>
      <c r="E488" s="4">
        <f>SUM($F$9:G487)+0.1</f>
        <v>479.1</v>
      </c>
      <c r="J488" s="9" t="s">
        <v>1493</v>
      </c>
    </row>
    <row r="489" spans="1:10" x14ac:dyDescent="0.35">
      <c r="A489" s="1" t="s">
        <v>104</v>
      </c>
      <c r="B489">
        <v>60</v>
      </c>
      <c r="E489" s="4">
        <f>SUM($F$9:G488)+0.1</f>
        <v>479.1</v>
      </c>
      <c r="J489" s="9" t="s">
        <v>1494</v>
      </c>
    </row>
    <row r="490" spans="1:10" x14ac:dyDescent="0.35">
      <c r="A490" s="1" t="s">
        <v>816</v>
      </c>
      <c r="B490">
        <v>60</v>
      </c>
      <c r="E490" s="4">
        <f>SUM($F$9:G489)+0.1</f>
        <v>479.1</v>
      </c>
      <c r="J490" s="9" t="s">
        <v>1495</v>
      </c>
    </row>
    <row r="491" spans="1:10" x14ac:dyDescent="0.35">
      <c r="A491" s="1" t="s">
        <v>105</v>
      </c>
      <c r="B491">
        <v>60</v>
      </c>
      <c r="E491" s="4">
        <f>SUM($F$9:G490)+0.1</f>
        <v>479.1</v>
      </c>
      <c r="J491" s="9" t="s">
        <v>1496</v>
      </c>
    </row>
    <row r="492" spans="1:10" x14ac:dyDescent="0.35">
      <c r="A492" s="1" t="s">
        <v>788</v>
      </c>
      <c r="E492" s="4">
        <f>SUM($F$9:G491)+0.1</f>
        <v>479.1</v>
      </c>
      <c r="J492" s="9" t="s">
        <v>1497</v>
      </c>
    </row>
    <row r="493" spans="1:10" x14ac:dyDescent="0.35">
      <c r="A493" s="1" t="s">
        <v>416</v>
      </c>
      <c r="B493">
        <v>60</v>
      </c>
      <c r="C493" t="s">
        <v>900</v>
      </c>
      <c r="E493" s="4">
        <f>SUM($F$9:G492)+0.1</f>
        <v>479.1</v>
      </c>
      <c r="J493" s="9" t="s">
        <v>1498</v>
      </c>
    </row>
    <row r="494" spans="1:10" x14ac:dyDescent="0.35">
      <c r="A494" s="1" t="s">
        <v>571</v>
      </c>
      <c r="B494">
        <v>60</v>
      </c>
      <c r="E494" s="4">
        <f>SUM($F$9:G493)+0.1</f>
        <v>479.1</v>
      </c>
      <c r="J494" s="9" t="s">
        <v>1499</v>
      </c>
    </row>
    <row r="495" spans="1:10" x14ac:dyDescent="0.35">
      <c r="A495" s="1" t="s">
        <v>1842</v>
      </c>
      <c r="E495" s="4">
        <f>SUM($F$9:G494)+0.1</f>
        <v>479.1</v>
      </c>
      <c r="J495" s="9" t="s">
        <v>1500</v>
      </c>
    </row>
    <row r="496" spans="1:10" x14ac:dyDescent="0.35">
      <c r="A496" s="1" t="s">
        <v>714</v>
      </c>
      <c r="B496">
        <v>60</v>
      </c>
      <c r="C496" t="s">
        <v>900</v>
      </c>
      <c r="E496" s="4">
        <f>SUM($F$9:G495)+0.1</f>
        <v>479.1</v>
      </c>
      <c r="J496" s="9" t="s">
        <v>1501</v>
      </c>
    </row>
    <row r="497" spans="1:10" x14ac:dyDescent="0.35">
      <c r="A497" s="1" t="s">
        <v>358</v>
      </c>
      <c r="B497">
        <v>60</v>
      </c>
      <c r="C497" t="s">
        <v>901</v>
      </c>
      <c r="D497" t="s">
        <v>242</v>
      </c>
      <c r="E497" s="4">
        <f>SUM($F$9:G496)+0.1</f>
        <v>479.1</v>
      </c>
      <c r="J497" s="9" t="s">
        <v>1502</v>
      </c>
    </row>
    <row r="498" spans="1:10" x14ac:dyDescent="0.35">
      <c r="A498" s="1" t="s">
        <v>359</v>
      </c>
      <c r="B498">
        <v>60</v>
      </c>
      <c r="E498" s="4">
        <f>SUM($F$9:G497)+0.1</f>
        <v>479.1</v>
      </c>
      <c r="J498" s="10" t="s">
        <v>1503</v>
      </c>
    </row>
    <row r="499" spans="1:10" x14ac:dyDescent="0.35">
      <c r="A499" s="1" t="s">
        <v>417</v>
      </c>
      <c r="B499">
        <v>60</v>
      </c>
      <c r="C499" t="s">
        <v>901</v>
      </c>
      <c r="E499" s="4">
        <f>SUM($F$9:G498)+0.1</f>
        <v>479.1</v>
      </c>
      <c r="J499" s="10" t="s">
        <v>1504</v>
      </c>
    </row>
    <row r="500" spans="1:10" x14ac:dyDescent="0.35">
      <c r="A500" s="1" t="s">
        <v>106</v>
      </c>
      <c r="B500">
        <v>60</v>
      </c>
      <c r="C500">
        <v>1</v>
      </c>
      <c r="E500" s="4">
        <f>SUM($F$9:G499)+0.1</f>
        <v>479.1</v>
      </c>
      <c r="F500">
        <v>1</v>
      </c>
      <c r="J500" s="10" t="s">
        <v>1505</v>
      </c>
    </row>
    <row r="501" spans="1:10" x14ac:dyDescent="0.35">
      <c r="A501" s="1" t="s">
        <v>360</v>
      </c>
      <c r="B501">
        <v>60</v>
      </c>
      <c r="C501">
        <v>1</v>
      </c>
      <c r="E501" s="4">
        <f>SUM($F$9:G500)+0.1</f>
        <v>480.1</v>
      </c>
      <c r="J501" s="10" t="s">
        <v>1506</v>
      </c>
    </row>
    <row r="502" spans="1:10" x14ac:dyDescent="0.35">
      <c r="A502" s="1" t="s">
        <v>107</v>
      </c>
      <c r="B502">
        <v>60</v>
      </c>
      <c r="E502" s="4">
        <f>SUM($F$9:G501)+0.1</f>
        <v>480.1</v>
      </c>
      <c r="J502" s="10" t="s">
        <v>1507</v>
      </c>
    </row>
    <row r="503" spans="1:10" x14ac:dyDescent="0.35">
      <c r="A503" s="1" t="s">
        <v>635</v>
      </c>
      <c r="B503">
        <v>60</v>
      </c>
      <c r="E503" s="4">
        <f>SUM($F$9:G502)+0.1</f>
        <v>480.1</v>
      </c>
      <c r="J503" s="10" t="s">
        <v>1508</v>
      </c>
    </row>
    <row r="504" spans="1:10" x14ac:dyDescent="0.35">
      <c r="A504" s="1" t="s">
        <v>418</v>
      </c>
      <c r="B504">
        <v>60</v>
      </c>
      <c r="C504" t="s">
        <v>900</v>
      </c>
      <c r="E504" s="4">
        <f>SUM($F$9:G503)+0.1</f>
        <v>480.1</v>
      </c>
      <c r="J504" s="10" t="s">
        <v>1509</v>
      </c>
    </row>
    <row r="505" spans="1:10" x14ac:dyDescent="0.35">
      <c r="A505" s="1" t="s">
        <v>362</v>
      </c>
      <c r="B505">
        <v>60</v>
      </c>
      <c r="E505" s="4">
        <f>SUM($F$9:G504)+0.1</f>
        <v>480.1</v>
      </c>
      <c r="J505" s="10" t="s">
        <v>1510</v>
      </c>
    </row>
    <row r="506" spans="1:10" x14ac:dyDescent="0.35">
      <c r="A506" s="1" t="s">
        <v>419</v>
      </c>
      <c r="B506">
        <v>60</v>
      </c>
      <c r="E506" s="4">
        <f>SUM($F$9:G505)+0.1</f>
        <v>480.1</v>
      </c>
      <c r="J506" s="10" t="s">
        <v>1511</v>
      </c>
    </row>
    <row r="507" spans="1:10" x14ac:dyDescent="0.35">
      <c r="A507" s="1" t="s">
        <v>363</v>
      </c>
      <c r="B507">
        <v>60</v>
      </c>
      <c r="E507" s="4">
        <f>SUM($F$9:G506)+0.1</f>
        <v>480.1</v>
      </c>
      <c r="J507" s="10" t="s">
        <v>1512</v>
      </c>
    </row>
    <row r="508" spans="1:10" x14ac:dyDescent="0.35">
      <c r="A508" s="1" t="s">
        <v>637</v>
      </c>
      <c r="B508">
        <v>60</v>
      </c>
      <c r="E508" s="4">
        <f>SUM($F$9:G507)+0.1</f>
        <v>480.1</v>
      </c>
      <c r="J508" s="10" t="s">
        <v>1513</v>
      </c>
    </row>
    <row r="509" spans="1:10" x14ac:dyDescent="0.35">
      <c r="A509" s="1" t="s">
        <v>364</v>
      </c>
      <c r="B509">
        <v>60</v>
      </c>
      <c r="E509" s="4">
        <f>SUM($F$9:G508)+0.1</f>
        <v>480.1</v>
      </c>
      <c r="F509">
        <v>1</v>
      </c>
      <c r="J509" s="10" t="s">
        <v>1514</v>
      </c>
    </row>
    <row r="510" spans="1:10" x14ac:dyDescent="0.35">
      <c r="A510" s="1" t="s">
        <v>365</v>
      </c>
      <c r="B510">
        <v>60</v>
      </c>
      <c r="E510" s="4">
        <f>SUM($F$9:G509)+0.1</f>
        <v>481.1</v>
      </c>
      <c r="J510" s="10" t="s">
        <v>1515</v>
      </c>
    </row>
    <row r="511" spans="1:10" x14ac:dyDescent="0.35">
      <c r="A511" s="1" t="s">
        <v>420</v>
      </c>
      <c r="B511">
        <v>60</v>
      </c>
      <c r="E511" s="4">
        <f>SUM($F$9:G510)+0.1</f>
        <v>481.1</v>
      </c>
      <c r="J511" s="10" t="s">
        <v>1516</v>
      </c>
    </row>
    <row r="512" spans="1:10" x14ac:dyDescent="0.35">
      <c r="A512" s="1" t="s">
        <v>203</v>
      </c>
      <c r="B512">
        <v>60</v>
      </c>
      <c r="E512" s="4">
        <f>SUM($F$9:G511)+0.1</f>
        <v>481.1</v>
      </c>
      <c r="J512" s="10" t="s">
        <v>1517</v>
      </c>
    </row>
    <row r="513" spans="1:10" x14ac:dyDescent="0.35">
      <c r="A513" s="1" t="s">
        <v>540</v>
      </c>
      <c r="B513">
        <v>60</v>
      </c>
      <c r="E513" s="4">
        <f>SUM($F$9:G512)+0.1</f>
        <v>481.1</v>
      </c>
      <c r="J513" s="10" t="s">
        <v>1518</v>
      </c>
    </row>
    <row r="514" spans="1:10" x14ac:dyDescent="0.35">
      <c r="A514" s="1" t="s">
        <v>421</v>
      </c>
      <c r="B514">
        <v>60</v>
      </c>
      <c r="C514" t="s">
        <v>900</v>
      </c>
      <c r="E514" s="4">
        <f>SUM($F$9:G513)+0.1</f>
        <v>481.1</v>
      </c>
      <c r="J514" s="10" t="s">
        <v>1519</v>
      </c>
    </row>
    <row r="515" spans="1:10" x14ac:dyDescent="0.35">
      <c r="A515" s="1" t="s">
        <v>366</v>
      </c>
      <c r="B515">
        <v>60</v>
      </c>
      <c r="E515" s="4">
        <f>SUM($F$9:G514)+0.1</f>
        <v>481.1</v>
      </c>
      <c r="F515">
        <v>1</v>
      </c>
      <c r="J515" s="10" t="s">
        <v>1520</v>
      </c>
    </row>
    <row r="516" spans="1:10" x14ac:dyDescent="0.35">
      <c r="A516" s="1" t="s">
        <v>110</v>
      </c>
      <c r="B516">
        <v>60</v>
      </c>
      <c r="E516" s="4">
        <f>SUM($F$9:G515)+0.1</f>
        <v>482.1</v>
      </c>
      <c r="J516" s="10" t="s">
        <v>1521</v>
      </c>
    </row>
    <row r="517" spans="1:10" x14ac:dyDescent="0.35">
      <c r="A517" s="1" t="s">
        <v>195</v>
      </c>
      <c r="B517">
        <v>60</v>
      </c>
      <c r="E517" s="4">
        <f>SUM($F$9:G516)+0.1</f>
        <v>482.1</v>
      </c>
      <c r="J517" s="10" t="s">
        <v>1522</v>
      </c>
    </row>
    <row r="518" spans="1:10" x14ac:dyDescent="0.35">
      <c r="A518" s="1" t="s">
        <v>217</v>
      </c>
      <c r="B518">
        <v>60</v>
      </c>
      <c r="E518" s="4">
        <f>SUM($F$9:G517)+0.1</f>
        <v>482.1</v>
      </c>
      <c r="J518" s="10" t="s">
        <v>1523</v>
      </c>
    </row>
    <row r="519" spans="1:10" x14ac:dyDescent="0.35">
      <c r="A519" s="1" t="s">
        <v>1831</v>
      </c>
      <c r="E519" s="4">
        <f>SUM($F$9:G518)+0.1</f>
        <v>482.1</v>
      </c>
      <c r="J519" s="10" t="s">
        <v>1524</v>
      </c>
    </row>
    <row r="520" spans="1:10" x14ac:dyDescent="0.35">
      <c r="A520" s="1" t="s">
        <v>367</v>
      </c>
      <c r="B520">
        <v>60</v>
      </c>
      <c r="E520" s="4">
        <f>SUM($F$9:G519)+0.1</f>
        <v>482.1</v>
      </c>
      <c r="J520" s="10" t="s">
        <v>1525</v>
      </c>
    </row>
    <row r="521" spans="1:10" x14ac:dyDescent="0.35">
      <c r="A521" s="1" t="s">
        <v>368</v>
      </c>
      <c r="B521">
        <v>60</v>
      </c>
      <c r="C521" t="s">
        <v>901</v>
      </c>
      <c r="E521" s="4">
        <f>SUM($F$9:G520)+0.1</f>
        <v>482.1</v>
      </c>
      <c r="J521" s="10" t="s">
        <v>1526</v>
      </c>
    </row>
    <row r="522" spans="1:10" x14ac:dyDescent="0.35">
      <c r="A522" s="1" t="s">
        <v>542</v>
      </c>
      <c r="B522">
        <v>60</v>
      </c>
      <c r="E522" s="4">
        <f>SUM($F$9:G521)+0.1</f>
        <v>482.1</v>
      </c>
      <c r="J522" s="10" t="s">
        <v>1527</v>
      </c>
    </row>
    <row r="523" spans="1:10" x14ac:dyDescent="0.35">
      <c r="A523" s="1" t="s">
        <v>422</v>
      </c>
      <c r="B523">
        <v>60</v>
      </c>
      <c r="E523" s="4">
        <f>SUM($F$9:G522)+0.1</f>
        <v>482.1</v>
      </c>
      <c r="J523" s="10" t="s">
        <v>1528</v>
      </c>
    </row>
    <row r="524" spans="1:10" x14ac:dyDescent="0.35">
      <c r="A524" s="1" t="s">
        <v>218</v>
      </c>
      <c r="B524">
        <v>60</v>
      </c>
      <c r="C524" t="s">
        <v>901</v>
      </c>
      <c r="E524" s="4">
        <f>SUM($F$9:G523)+0.1</f>
        <v>482.1</v>
      </c>
      <c r="J524" s="10" t="s">
        <v>1529</v>
      </c>
    </row>
    <row r="525" spans="1:10" x14ac:dyDescent="0.35">
      <c r="A525" s="1" t="s">
        <v>1841</v>
      </c>
      <c r="E525" s="4">
        <f>SUM($F$9:G524)+0.1</f>
        <v>482.1</v>
      </c>
      <c r="J525" s="10" t="s">
        <v>1530</v>
      </c>
    </row>
    <row r="526" spans="1:10" x14ac:dyDescent="0.35">
      <c r="A526" s="1" t="s">
        <v>881</v>
      </c>
      <c r="B526">
        <v>60</v>
      </c>
      <c r="E526" s="4">
        <f>SUM($F$9:G525)+0.1</f>
        <v>482.1</v>
      </c>
      <c r="J526" s="10" t="s">
        <v>1531</v>
      </c>
    </row>
    <row r="527" spans="1:10" x14ac:dyDescent="0.35">
      <c r="A527" s="1" t="s">
        <v>818</v>
      </c>
      <c r="B527">
        <v>60</v>
      </c>
      <c r="E527" s="4">
        <f>SUM($F$9:G526)+0.1</f>
        <v>482.1</v>
      </c>
      <c r="J527" s="10" t="s">
        <v>1532</v>
      </c>
    </row>
    <row r="528" spans="1:10" x14ac:dyDescent="0.35">
      <c r="A528" s="1" t="s">
        <v>113</v>
      </c>
      <c r="B528">
        <v>60</v>
      </c>
      <c r="C528" t="s">
        <v>900</v>
      </c>
      <c r="E528" s="4">
        <f>SUM($F$9:G527)+0.1</f>
        <v>482.1</v>
      </c>
      <c r="J528" s="10" t="s">
        <v>1533</v>
      </c>
    </row>
    <row r="529" spans="1:10" x14ac:dyDescent="0.35">
      <c r="A529" s="1" t="s">
        <v>423</v>
      </c>
      <c r="B529">
        <v>60</v>
      </c>
      <c r="C529" t="s">
        <v>900</v>
      </c>
      <c r="E529" s="4">
        <f>SUM($F$9:G528)+0.1</f>
        <v>482.1</v>
      </c>
      <c r="J529" s="10" t="s">
        <v>1534</v>
      </c>
    </row>
    <row r="530" spans="1:10" x14ac:dyDescent="0.35">
      <c r="A530" s="1" t="s">
        <v>543</v>
      </c>
      <c r="B530">
        <v>60</v>
      </c>
      <c r="C530" t="s">
        <v>900</v>
      </c>
      <c r="E530" s="4">
        <f>SUM($F$9:G529)+0.1</f>
        <v>482.1</v>
      </c>
      <c r="J530" s="10" t="s">
        <v>1535</v>
      </c>
    </row>
    <row r="531" spans="1:10" x14ac:dyDescent="0.35">
      <c r="A531" s="1" t="s">
        <v>544</v>
      </c>
      <c r="B531">
        <v>60</v>
      </c>
      <c r="C531" t="s">
        <v>900</v>
      </c>
      <c r="E531" s="4">
        <f>SUM($F$9:G530)+0.1</f>
        <v>482.1</v>
      </c>
      <c r="J531" s="10" t="s">
        <v>1536</v>
      </c>
    </row>
    <row r="532" spans="1:10" x14ac:dyDescent="0.35">
      <c r="A532" s="1" t="s">
        <v>545</v>
      </c>
      <c r="B532">
        <v>60</v>
      </c>
      <c r="C532" t="s">
        <v>900</v>
      </c>
      <c r="E532" s="4">
        <f>SUM($F$9:G531)+0.1</f>
        <v>482.1</v>
      </c>
      <c r="J532" s="10" t="s">
        <v>1537</v>
      </c>
    </row>
    <row r="533" spans="1:10" x14ac:dyDescent="0.35">
      <c r="A533" s="1" t="s">
        <v>819</v>
      </c>
      <c r="B533">
        <v>60</v>
      </c>
      <c r="E533" s="4">
        <f>SUM($F$9:G532)+0.1</f>
        <v>482.1</v>
      </c>
      <c r="F533">
        <v>1</v>
      </c>
      <c r="J533" s="10" t="s">
        <v>1538</v>
      </c>
    </row>
    <row r="534" spans="1:10" x14ac:dyDescent="0.35">
      <c r="A534" s="1" t="s">
        <v>371</v>
      </c>
      <c r="B534">
        <v>60</v>
      </c>
      <c r="E534" s="4">
        <f>SUM($F$9:G533)+0.1</f>
        <v>483.1</v>
      </c>
      <c r="J534" s="10" t="s">
        <v>1539</v>
      </c>
    </row>
    <row r="535" spans="1:10" x14ac:dyDescent="0.35">
      <c r="A535" s="1" t="s">
        <v>220</v>
      </c>
      <c r="B535">
        <v>60</v>
      </c>
      <c r="E535" s="4">
        <f>SUM($F$9:G534)+0.1</f>
        <v>483.1</v>
      </c>
      <c r="J535" s="10" t="s">
        <v>1540</v>
      </c>
    </row>
    <row r="536" spans="1:10" x14ac:dyDescent="0.35">
      <c r="A536" s="1" t="s">
        <v>178</v>
      </c>
      <c r="B536">
        <v>60</v>
      </c>
      <c r="E536" s="4">
        <f>SUM($F$9:G535)+0.1</f>
        <v>483.1</v>
      </c>
      <c r="F536">
        <v>1</v>
      </c>
      <c r="J536" s="10" t="s">
        <v>1541</v>
      </c>
    </row>
    <row r="537" spans="1:10" x14ac:dyDescent="0.35">
      <c r="A537" s="1" t="s">
        <v>424</v>
      </c>
      <c r="B537">
        <v>60</v>
      </c>
      <c r="C537" t="s">
        <v>901</v>
      </c>
      <c r="E537" s="4">
        <f>SUM($F$9:G536)+0.1</f>
        <v>484.1</v>
      </c>
      <c r="J537" s="10" t="s">
        <v>1542</v>
      </c>
    </row>
    <row r="538" spans="1:10" x14ac:dyDescent="0.35">
      <c r="A538" s="1" t="s">
        <v>373</v>
      </c>
      <c r="B538">
        <v>60</v>
      </c>
      <c r="C538" t="s">
        <v>901</v>
      </c>
      <c r="E538" s="4">
        <f>SUM($F$9:G537)+0.1</f>
        <v>484.1</v>
      </c>
      <c r="J538" s="10" t="s">
        <v>1543</v>
      </c>
    </row>
    <row r="539" spans="1:10" x14ac:dyDescent="0.35">
      <c r="A539" s="1" t="s">
        <v>754</v>
      </c>
      <c r="B539">
        <v>60</v>
      </c>
      <c r="C539" t="s">
        <v>900</v>
      </c>
      <c r="E539" s="4">
        <f>SUM($F$9:G538)+0.1</f>
        <v>484.1</v>
      </c>
      <c r="J539" s="10" t="s">
        <v>1544</v>
      </c>
    </row>
    <row r="540" spans="1:10" x14ac:dyDescent="0.35">
      <c r="A540" s="1" t="s">
        <v>182</v>
      </c>
      <c r="B540">
        <v>60</v>
      </c>
      <c r="E540" s="4">
        <f>SUM($F$9:G539)+0.1</f>
        <v>484.1</v>
      </c>
      <c r="F540">
        <v>2</v>
      </c>
      <c r="J540" s="10" t="s">
        <v>1545</v>
      </c>
    </row>
    <row r="541" spans="1:10" x14ac:dyDescent="0.35">
      <c r="A541" s="1" t="s">
        <v>375</v>
      </c>
      <c r="B541">
        <v>60</v>
      </c>
      <c r="E541" s="4">
        <f>SUM($F$9:G540)+0.1</f>
        <v>486.1</v>
      </c>
      <c r="J541" s="10" t="s">
        <v>1546</v>
      </c>
    </row>
    <row r="542" spans="1:10" x14ac:dyDescent="0.35">
      <c r="A542" s="1" t="s">
        <v>755</v>
      </c>
      <c r="E542" s="4">
        <f>SUM($F$9:G541)+0.1</f>
        <v>486.1</v>
      </c>
      <c r="J542" s="10" t="s">
        <v>1547</v>
      </c>
    </row>
    <row r="543" spans="1:10" x14ac:dyDescent="0.35">
      <c r="A543" s="1" t="s">
        <v>376</v>
      </c>
      <c r="B543">
        <v>60</v>
      </c>
      <c r="E543" s="4">
        <f>SUM($F$9:G542)+0.1</f>
        <v>486.1</v>
      </c>
      <c r="J543" s="9" t="s">
        <v>1548</v>
      </c>
    </row>
    <row r="544" spans="1:10" x14ac:dyDescent="0.35">
      <c r="A544" s="1" t="s">
        <v>821</v>
      </c>
      <c r="B544">
        <v>60</v>
      </c>
      <c r="E544" s="4">
        <f>SUM($F$9:G543)+0.1</f>
        <v>486.1</v>
      </c>
      <c r="J544" s="9" t="s">
        <v>1549</v>
      </c>
    </row>
    <row r="545" spans="1:10" x14ac:dyDescent="0.35">
      <c r="A545" s="1" t="s">
        <v>717</v>
      </c>
      <c r="B545">
        <v>60</v>
      </c>
      <c r="C545" t="s">
        <v>900</v>
      </c>
      <c r="E545" s="4">
        <f>SUM($F$9:G544)+0.1</f>
        <v>486.1</v>
      </c>
      <c r="J545" s="9" t="s">
        <v>1550</v>
      </c>
    </row>
    <row r="546" spans="1:10" x14ac:dyDescent="0.35">
      <c r="A546" s="1" t="s">
        <v>114</v>
      </c>
      <c r="B546">
        <v>60</v>
      </c>
      <c r="E546" s="4">
        <f>SUM($F$9:G545)+0.1</f>
        <v>486.1</v>
      </c>
      <c r="F546">
        <v>1</v>
      </c>
      <c r="J546" s="9" t="s">
        <v>1551</v>
      </c>
    </row>
    <row r="547" spans="1:10" x14ac:dyDescent="0.35">
      <c r="A547" s="1" t="s">
        <v>115</v>
      </c>
      <c r="B547">
        <v>60</v>
      </c>
      <c r="E547" s="4">
        <f>SUM($F$9:G546)+0.1</f>
        <v>487.1</v>
      </c>
      <c r="J547" s="9" t="s">
        <v>1552</v>
      </c>
    </row>
    <row r="548" spans="1:10" x14ac:dyDescent="0.35">
      <c r="A548" s="1" t="s">
        <v>822</v>
      </c>
      <c r="B548">
        <v>60</v>
      </c>
      <c r="E548" s="4">
        <f>SUM($F$9:G547)+0.1</f>
        <v>487.1</v>
      </c>
      <c r="F548">
        <v>1</v>
      </c>
      <c r="J548" s="9" t="s">
        <v>1553</v>
      </c>
    </row>
    <row r="549" spans="1:10" x14ac:dyDescent="0.35">
      <c r="A549" s="1" t="s">
        <v>185</v>
      </c>
      <c r="B549">
        <v>60</v>
      </c>
      <c r="E549" s="4">
        <f>SUM($F$9:G548)+0.1</f>
        <v>488.1</v>
      </c>
      <c r="F549">
        <v>9</v>
      </c>
      <c r="J549" s="9" t="s">
        <v>1554</v>
      </c>
    </row>
    <row r="550" spans="1:10" x14ac:dyDescent="0.35">
      <c r="A550" s="1" t="s">
        <v>116</v>
      </c>
      <c r="B550">
        <v>60</v>
      </c>
      <c r="C550" t="s">
        <v>901</v>
      </c>
      <c r="E550" s="4">
        <f>SUM($F$9:G549)+0.1</f>
        <v>497.1</v>
      </c>
      <c r="F550">
        <v>1</v>
      </c>
      <c r="J550" s="9" t="s">
        <v>1555</v>
      </c>
    </row>
    <row r="551" spans="1:10" x14ac:dyDescent="0.35">
      <c r="A551" s="1" t="s">
        <v>837</v>
      </c>
      <c r="B551">
        <v>60</v>
      </c>
      <c r="C551">
        <v>1</v>
      </c>
      <c r="E551" s="4">
        <f>SUM($F$9:G550)+0.1</f>
        <v>498.1</v>
      </c>
      <c r="F551">
        <v>1</v>
      </c>
      <c r="J551" s="9" t="s">
        <v>1556</v>
      </c>
    </row>
    <row r="552" spans="1:10" x14ac:dyDescent="0.35">
      <c r="A552" s="1" t="s">
        <v>824</v>
      </c>
      <c r="B552">
        <v>60</v>
      </c>
      <c r="E552" s="4">
        <f>SUM($F$9:G551)+0.1</f>
        <v>499.1</v>
      </c>
      <c r="F552">
        <v>2</v>
      </c>
      <c r="J552" s="9" t="s">
        <v>1557</v>
      </c>
    </row>
    <row r="553" spans="1:10" x14ac:dyDescent="0.35">
      <c r="A553" s="1" t="s">
        <v>117</v>
      </c>
      <c r="B553">
        <v>60</v>
      </c>
      <c r="C553" t="s">
        <v>903</v>
      </c>
      <c r="E553" s="4">
        <f>SUM($F$9:G552)+0.1</f>
        <v>501.1</v>
      </c>
      <c r="J553" s="9" t="s">
        <v>1558</v>
      </c>
    </row>
    <row r="554" spans="1:10" x14ac:dyDescent="0.35">
      <c r="A554" s="1" t="s">
        <v>549</v>
      </c>
      <c r="B554">
        <v>60</v>
      </c>
      <c r="E554" s="4">
        <f>SUM($F$9:G553)+0.1</f>
        <v>501.1</v>
      </c>
      <c r="J554" s="9" t="s">
        <v>1559</v>
      </c>
    </row>
    <row r="555" spans="1:10" x14ac:dyDescent="0.35">
      <c r="A555" s="1" t="s">
        <v>118</v>
      </c>
      <c r="B555">
        <v>60</v>
      </c>
      <c r="E555" s="4">
        <f>SUM($F$9:G554)+0.1</f>
        <v>501.1</v>
      </c>
      <c r="J555" s="9" t="s">
        <v>1560</v>
      </c>
    </row>
    <row r="556" spans="1:10" x14ac:dyDescent="0.35">
      <c r="A556" s="1" t="s">
        <v>756</v>
      </c>
      <c r="B556">
        <v>60</v>
      </c>
      <c r="C556" t="s">
        <v>900</v>
      </c>
      <c r="E556" s="4">
        <f>SUM($F$9:G555)+0.1</f>
        <v>501.1</v>
      </c>
      <c r="J556" s="9" t="s">
        <v>1561</v>
      </c>
    </row>
    <row r="557" spans="1:10" x14ac:dyDescent="0.35">
      <c r="A557" s="1" t="s">
        <v>550</v>
      </c>
      <c r="B557">
        <v>60</v>
      </c>
      <c r="E557" s="4">
        <f>SUM($F$9:G556)+0.1</f>
        <v>501.1</v>
      </c>
      <c r="J557" s="9" t="s">
        <v>1562</v>
      </c>
    </row>
    <row r="558" spans="1:10" x14ac:dyDescent="0.35">
      <c r="A558" s="1" t="s">
        <v>825</v>
      </c>
      <c r="B558">
        <v>60</v>
      </c>
      <c r="E558" s="4">
        <f>SUM($F$9:G557)+0.1</f>
        <v>501.1</v>
      </c>
      <c r="J558" s="9" t="s">
        <v>1563</v>
      </c>
    </row>
    <row r="559" spans="1:10" x14ac:dyDescent="0.35">
      <c r="A559" s="1" t="s">
        <v>639</v>
      </c>
      <c r="B559">
        <v>60</v>
      </c>
      <c r="C559" t="s">
        <v>903</v>
      </c>
      <c r="E559" s="4">
        <f>SUM($F$9:G558)+0.1</f>
        <v>501.1</v>
      </c>
      <c r="J559" s="9" t="s">
        <v>1564</v>
      </c>
    </row>
    <row r="560" spans="1:10" x14ac:dyDescent="0.35">
      <c r="A560" s="1" t="s">
        <v>119</v>
      </c>
      <c r="B560">
        <v>60</v>
      </c>
      <c r="E560" s="4">
        <f>SUM($F$9:G559)+0.1</f>
        <v>501.1</v>
      </c>
      <c r="J560" s="9" t="s">
        <v>1565</v>
      </c>
    </row>
    <row r="561" spans="1:10" x14ac:dyDescent="0.35">
      <c r="A561" s="1" t="s">
        <v>862</v>
      </c>
      <c r="B561">
        <v>60</v>
      </c>
      <c r="E561" s="4">
        <f>SUM($F$9:G560)+0.1</f>
        <v>501.1</v>
      </c>
      <c r="J561" s="9" t="s">
        <v>1566</v>
      </c>
    </row>
    <row r="562" spans="1:10" x14ac:dyDescent="0.35">
      <c r="A562" s="1" t="s">
        <v>638</v>
      </c>
      <c r="B562">
        <v>60</v>
      </c>
      <c r="E562" s="4">
        <f>SUM($F$9:G561)+0.1</f>
        <v>501.1</v>
      </c>
      <c r="J562" s="9" t="s">
        <v>1567</v>
      </c>
    </row>
    <row r="563" spans="1:10" x14ac:dyDescent="0.35">
      <c r="A563" s="1" t="s">
        <v>551</v>
      </c>
      <c r="B563">
        <v>60</v>
      </c>
      <c r="E563" s="4">
        <f>SUM($F$9:G562)+0.1</f>
        <v>501.1</v>
      </c>
      <c r="J563" s="9" t="s">
        <v>1568</v>
      </c>
    </row>
    <row r="564" spans="1:10" x14ac:dyDescent="0.35">
      <c r="A564" s="1" t="s">
        <v>188</v>
      </c>
      <c r="B564">
        <v>60</v>
      </c>
      <c r="D564" t="s">
        <v>902</v>
      </c>
      <c r="E564" s="4">
        <f>SUM($F$9:G563)+0.1</f>
        <v>501.1</v>
      </c>
      <c r="J564" s="9" t="s">
        <v>1569</v>
      </c>
    </row>
    <row r="565" spans="1:10" x14ac:dyDescent="0.35">
      <c r="A565" s="1" t="s">
        <v>882</v>
      </c>
      <c r="B565">
        <v>60</v>
      </c>
      <c r="E565" s="4">
        <f>SUM($F$9:G564)+0.1</f>
        <v>501.1</v>
      </c>
      <c r="J565" s="9" t="s">
        <v>1570</v>
      </c>
    </row>
    <row r="566" spans="1:10" x14ac:dyDescent="0.35">
      <c r="A566" s="1" t="s">
        <v>120</v>
      </c>
      <c r="B566">
        <v>60</v>
      </c>
      <c r="E566" s="4">
        <f>SUM($F$9:G565)+0.1</f>
        <v>501.1</v>
      </c>
      <c r="J566" s="9" t="s">
        <v>1571</v>
      </c>
    </row>
    <row r="567" spans="1:10" x14ac:dyDescent="0.35">
      <c r="A567" s="1" t="s">
        <v>121</v>
      </c>
      <c r="B567">
        <v>60</v>
      </c>
      <c r="C567" t="s">
        <v>901</v>
      </c>
      <c r="E567" s="4">
        <f>SUM($F$9:G566)+0.1</f>
        <v>501.1</v>
      </c>
      <c r="J567" s="9" t="s">
        <v>1572</v>
      </c>
    </row>
    <row r="568" spans="1:10" x14ac:dyDescent="0.35">
      <c r="A568" s="1" t="s">
        <v>425</v>
      </c>
      <c r="B568">
        <v>60</v>
      </c>
      <c r="C568" t="s">
        <v>900</v>
      </c>
      <c r="E568" s="4">
        <f>SUM($F$9:G567)+0.1</f>
        <v>501.1</v>
      </c>
      <c r="J568" s="9" t="s">
        <v>1573</v>
      </c>
    </row>
    <row r="569" spans="1:10" x14ac:dyDescent="0.35">
      <c r="A569" s="1" t="s">
        <v>122</v>
      </c>
      <c r="B569">
        <v>60</v>
      </c>
      <c r="E569" s="4">
        <f>SUM($F$9:G568)+0.1</f>
        <v>501.1</v>
      </c>
      <c r="J569" s="9" t="s">
        <v>1574</v>
      </c>
    </row>
    <row r="570" spans="1:10" x14ac:dyDescent="0.35">
      <c r="A570" s="1" t="s">
        <v>123</v>
      </c>
      <c r="B570">
        <v>60</v>
      </c>
      <c r="E570" s="4">
        <f>SUM($F$9:G569)+0.1</f>
        <v>501.1</v>
      </c>
      <c r="J570" s="9" t="s">
        <v>1575</v>
      </c>
    </row>
    <row r="571" spans="1:10" x14ac:dyDescent="0.35">
      <c r="A571" s="1" t="s">
        <v>719</v>
      </c>
      <c r="B571">
        <v>60</v>
      </c>
      <c r="E571" s="4">
        <f>SUM($F$9:G570)+0.1</f>
        <v>501.1</v>
      </c>
      <c r="J571" s="9" t="s">
        <v>1576</v>
      </c>
    </row>
    <row r="572" spans="1:10" x14ac:dyDescent="0.35">
      <c r="A572" s="1" t="s">
        <v>378</v>
      </c>
      <c r="B572">
        <v>60</v>
      </c>
      <c r="C572" t="s">
        <v>903</v>
      </c>
      <c r="E572" s="4">
        <f>SUM($F$9:G571)+0.1</f>
        <v>501.1</v>
      </c>
      <c r="J572" s="9" t="s">
        <v>1577</v>
      </c>
    </row>
    <row r="573" spans="1:10" x14ac:dyDescent="0.35">
      <c r="A573" s="1" t="s">
        <v>552</v>
      </c>
      <c r="B573">
        <v>60</v>
      </c>
      <c r="E573" s="4">
        <f>SUM($F$9:G572)+0.1</f>
        <v>501.1</v>
      </c>
      <c r="J573" s="9" t="s">
        <v>1578</v>
      </c>
    </row>
    <row r="574" spans="1:10" x14ac:dyDescent="0.35">
      <c r="A574" s="1" t="s">
        <v>426</v>
      </c>
      <c r="B574">
        <v>60</v>
      </c>
      <c r="C574" t="s">
        <v>900</v>
      </c>
      <c r="E574" s="4">
        <f>SUM($F$9:G573)+0.1</f>
        <v>501.1</v>
      </c>
      <c r="J574" s="9" t="s">
        <v>1579</v>
      </c>
    </row>
    <row r="575" spans="1:10" x14ac:dyDescent="0.35">
      <c r="A575" s="1" t="s">
        <v>427</v>
      </c>
      <c r="B575">
        <v>60</v>
      </c>
      <c r="C575" t="s">
        <v>901</v>
      </c>
      <c r="E575" s="4">
        <f>SUM($F$9:G574)+0.1</f>
        <v>501.1</v>
      </c>
      <c r="J575" s="9" t="s">
        <v>1580</v>
      </c>
    </row>
    <row r="576" spans="1:10" x14ac:dyDescent="0.35">
      <c r="A576" s="1" t="s">
        <v>787</v>
      </c>
      <c r="B576">
        <v>60</v>
      </c>
      <c r="C576" t="s">
        <v>900</v>
      </c>
      <c r="E576" s="4">
        <f>SUM($F$9:G575)+0.1</f>
        <v>501.1</v>
      </c>
      <c r="J576" s="9" t="s">
        <v>1581</v>
      </c>
    </row>
    <row r="577" spans="1:10" x14ac:dyDescent="0.35">
      <c r="A577" s="1" t="s">
        <v>720</v>
      </c>
      <c r="E577" s="4">
        <f>SUM($F$9:G576)+0.1</f>
        <v>501.1</v>
      </c>
      <c r="J577" s="9" t="s">
        <v>1582</v>
      </c>
    </row>
    <row r="578" spans="1:10" x14ac:dyDescent="0.35">
      <c r="A578" s="1" t="s">
        <v>379</v>
      </c>
      <c r="B578">
        <v>60</v>
      </c>
      <c r="C578" t="s">
        <v>901</v>
      </c>
      <c r="E578" s="4">
        <f>SUM($F$9:G577)+0.1</f>
        <v>501.1</v>
      </c>
      <c r="J578" s="9" t="s">
        <v>1583</v>
      </c>
    </row>
    <row r="579" spans="1:10" x14ac:dyDescent="0.35">
      <c r="A579" s="1" t="s">
        <v>553</v>
      </c>
      <c r="B579">
        <v>60</v>
      </c>
      <c r="E579" s="4">
        <f>SUM($F$9:G578)+0.1</f>
        <v>501.1</v>
      </c>
      <c r="J579" s="9" t="s">
        <v>1584</v>
      </c>
    </row>
    <row r="580" spans="1:10" x14ac:dyDescent="0.35">
      <c r="A580" s="1" t="s">
        <v>722</v>
      </c>
      <c r="B580">
        <v>60</v>
      </c>
      <c r="C580" t="s">
        <v>901</v>
      </c>
      <c r="E580" s="4">
        <f>SUM($F$9:G579)+0.1</f>
        <v>501.1</v>
      </c>
      <c r="J580" s="9" t="s">
        <v>1585</v>
      </c>
    </row>
    <row r="581" spans="1:10" x14ac:dyDescent="0.35">
      <c r="A581" s="1" t="s">
        <v>826</v>
      </c>
      <c r="B581">
        <v>60</v>
      </c>
      <c r="C581" t="s">
        <v>900</v>
      </c>
      <c r="E581" s="4">
        <f>SUM($F$9:G580)+0.1</f>
        <v>501.1</v>
      </c>
      <c r="J581" s="9" t="s">
        <v>1586</v>
      </c>
    </row>
    <row r="582" spans="1:10" x14ac:dyDescent="0.35">
      <c r="A582" s="1" t="s">
        <v>572</v>
      </c>
      <c r="B582">
        <v>60</v>
      </c>
      <c r="E582" s="4">
        <f>SUM($F$9:G581)+0.1</f>
        <v>501.1</v>
      </c>
      <c r="J582" s="9" t="s">
        <v>1587</v>
      </c>
    </row>
    <row r="583" spans="1:10" x14ac:dyDescent="0.35">
      <c r="A583" s="1" t="s">
        <v>208</v>
      </c>
      <c r="B583">
        <v>60</v>
      </c>
      <c r="C583" t="s">
        <v>901</v>
      </c>
      <c r="E583" s="4">
        <f>SUM($F$9:G582)+0.1</f>
        <v>501.1</v>
      </c>
      <c r="J583" s="9" t="s">
        <v>1588</v>
      </c>
    </row>
    <row r="584" spans="1:10" x14ac:dyDescent="0.35">
      <c r="A584" s="1" t="s">
        <v>125</v>
      </c>
      <c r="B584">
        <v>60</v>
      </c>
      <c r="E584" s="4">
        <f>SUM($F$9:G583)+0.1</f>
        <v>501.1</v>
      </c>
      <c r="J584" s="9" t="s">
        <v>1589</v>
      </c>
    </row>
    <row r="585" spans="1:10" x14ac:dyDescent="0.35">
      <c r="A585" s="1" t="s">
        <v>126</v>
      </c>
      <c r="B585">
        <v>60</v>
      </c>
      <c r="E585" s="4">
        <f>SUM($F$9:G584)+0.1</f>
        <v>501.1</v>
      </c>
      <c r="J585" s="9" t="s">
        <v>1590</v>
      </c>
    </row>
    <row r="586" spans="1:10" x14ac:dyDescent="0.35">
      <c r="A586" s="1" t="s">
        <v>381</v>
      </c>
      <c r="B586">
        <v>60</v>
      </c>
      <c r="C586" t="s">
        <v>900</v>
      </c>
      <c r="E586" s="4">
        <f>SUM($F$9:G585)+0.1</f>
        <v>501.1</v>
      </c>
      <c r="F586">
        <v>1</v>
      </c>
      <c r="J586" s="9" t="s">
        <v>1591</v>
      </c>
    </row>
    <row r="587" spans="1:10" x14ac:dyDescent="0.35">
      <c r="A587" s="1" t="s">
        <v>159</v>
      </c>
      <c r="B587">
        <v>60</v>
      </c>
      <c r="E587" s="4">
        <f>SUM($F$9:G586)+0.1</f>
        <v>502.1</v>
      </c>
      <c r="J587" s="9" t="s">
        <v>1592</v>
      </c>
    </row>
    <row r="588" spans="1:10" x14ac:dyDescent="0.35">
      <c r="A588" s="1" t="s">
        <v>827</v>
      </c>
      <c r="B588">
        <v>60</v>
      </c>
      <c r="C588" t="s">
        <v>900</v>
      </c>
      <c r="E588" s="4">
        <f>SUM($F$9:G587)+0.1</f>
        <v>502.1</v>
      </c>
      <c r="J588" s="9" t="s">
        <v>1593</v>
      </c>
    </row>
    <row r="589" spans="1:10" x14ac:dyDescent="0.35">
      <c r="A589" s="1" t="s">
        <v>127</v>
      </c>
      <c r="E589" s="4">
        <f>SUM($F$9:G588)+0.1</f>
        <v>502.1</v>
      </c>
      <c r="J589" s="9" t="s">
        <v>1594</v>
      </c>
    </row>
    <row r="590" spans="1:10" x14ac:dyDescent="0.35">
      <c r="A590" s="1" t="s">
        <v>723</v>
      </c>
      <c r="E590" s="4">
        <f>SUM($F$9:G589)+0.1</f>
        <v>502.1</v>
      </c>
      <c r="J590" s="9" t="s">
        <v>1595</v>
      </c>
    </row>
    <row r="591" spans="1:10" x14ac:dyDescent="0.35">
      <c r="A591" s="1" t="s">
        <v>382</v>
      </c>
      <c r="B591">
        <v>60</v>
      </c>
      <c r="E591" s="4">
        <f>SUM($F$9:G590)+0.1</f>
        <v>502.1</v>
      </c>
      <c r="J591" s="9" t="s">
        <v>1596</v>
      </c>
    </row>
    <row r="592" spans="1:10" x14ac:dyDescent="0.35">
      <c r="A592" s="1" t="s">
        <v>383</v>
      </c>
      <c r="B592">
        <v>60</v>
      </c>
      <c r="C592" t="s">
        <v>900</v>
      </c>
      <c r="E592" s="4">
        <f>SUM($F$9:G591)+0.1</f>
        <v>502.1</v>
      </c>
      <c r="J592" s="9" t="s">
        <v>1597</v>
      </c>
    </row>
    <row r="593" spans="1:10" x14ac:dyDescent="0.35">
      <c r="A593" s="1" t="s">
        <v>757</v>
      </c>
      <c r="B593">
        <v>60</v>
      </c>
      <c r="C593" t="s">
        <v>901</v>
      </c>
      <c r="E593" s="4">
        <f>SUM($F$9:G592)+0.1</f>
        <v>502.1</v>
      </c>
      <c r="F593">
        <v>9</v>
      </c>
      <c r="J593" s="9" t="s">
        <v>1598</v>
      </c>
    </row>
    <row r="594" spans="1:10" x14ac:dyDescent="0.35">
      <c r="A594" s="1" t="s">
        <v>129</v>
      </c>
      <c r="B594">
        <v>60</v>
      </c>
      <c r="E594" s="4">
        <f>SUM($F$9:G593)+0.1</f>
        <v>511.1</v>
      </c>
      <c r="J594" s="11" t="s">
        <v>1599</v>
      </c>
    </row>
    <row r="595" spans="1:10" x14ac:dyDescent="0.35">
      <c r="A595" s="1" t="s">
        <v>170</v>
      </c>
      <c r="B595">
        <v>60</v>
      </c>
      <c r="C595" t="s">
        <v>900</v>
      </c>
      <c r="E595" s="4">
        <f>SUM($F$9:G594)+0.1</f>
        <v>511.1</v>
      </c>
      <c r="J595" s="9" t="s">
        <v>1600</v>
      </c>
    </row>
    <row r="596" spans="1:10" x14ac:dyDescent="0.35">
      <c r="A596" s="1" t="s">
        <v>1830</v>
      </c>
      <c r="E596" s="4">
        <f>SUM($F$9:G595)+0.1</f>
        <v>511.1</v>
      </c>
      <c r="J596" s="11" t="s">
        <v>1601</v>
      </c>
    </row>
    <row r="597" spans="1:10" x14ac:dyDescent="0.35">
      <c r="A597" s="1" t="s">
        <v>871</v>
      </c>
      <c r="B597">
        <v>60</v>
      </c>
      <c r="C597" t="s">
        <v>901</v>
      </c>
      <c r="E597" s="4">
        <f>SUM($F$9:G596)+0.1</f>
        <v>511.1</v>
      </c>
      <c r="J597" s="9" t="s">
        <v>1602</v>
      </c>
    </row>
    <row r="598" spans="1:10" x14ac:dyDescent="0.35">
      <c r="A598" s="1" t="s">
        <v>641</v>
      </c>
      <c r="B598">
        <v>60</v>
      </c>
      <c r="E598" s="4">
        <f>SUM($F$9:G597)+0.1</f>
        <v>511.1</v>
      </c>
      <c r="J598" s="11" t="s">
        <v>1603</v>
      </c>
    </row>
    <row r="599" spans="1:10" x14ac:dyDescent="0.35">
      <c r="A599" s="1" t="s">
        <v>828</v>
      </c>
      <c r="B599">
        <v>60</v>
      </c>
      <c r="E599" s="4">
        <f>SUM($F$9:G598)+0.1</f>
        <v>511.1</v>
      </c>
      <c r="J599" s="9" t="s">
        <v>1604</v>
      </c>
    </row>
    <row r="600" spans="1:10" x14ac:dyDescent="0.35">
      <c r="A600" s="1" t="s">
        <v>724</v>
      </c>
      <c r="B600">
        <v>60</v>
      </c>
      <c r="C600" t="s">
        <v>900</v>
      </c>
      <c r="E600" s="4">
        <f>SUM($F$9:G599)+0.1</f>
        <v>511.1</v>
      </c>
      <c r="J600" s="11" t="s">
        <v>1605</v>
      </c>
    </row>
    <row r="601" spans="1:10" x14ac:dyDescent="0.35">
      <c r="A601" s="1" t="s">
        <v>205</v>
      </c>
      <c r="B601">
        <v>60</v>
      </c>
      <c r="E601" s="4">
        <f>SUM($F$9:G600)+0.1</f>
        <v>511.1</v>
      </c>
      <c r="J601" s="11" t="s">
        <v>1606</v>
      </c>
    </row>
    <row r="602" spans="1:10" x14ac:dyDescent="0.35">
      <c r="A602" s="1" t="s">
        <v>131</v>
      </c>
      <c r="B602">
        <v>60</v>
      </c>
      <c r="C602" t="s">
        <v>903</v>
      </c>
      <c r="E602" s="4">
        <f>SUM($F$9:G601)+0.1</f>
        <v>511.1</v>
      </c>
      <c r="J602" s="11" t="s">
        <v>1607</v>
      </c>
    </row>
    <row r="603" spans="1:10" x14ac:dyDescent="0.35">
      <c r="A603" s="1" t="s">
        <v>201</v>
      </c>
      <c r="B603">
        <v>60</v>
      </c>
      <c r="E603" s="4">
        <f>SUM($F$9:G602)+0.1</f>
        <v>511.1</v>
      </c>
      <c r="F603">
        <v>2</v>
      </c>
      <c r="J603" s="11" t="s">
        <v>1608</v>
      </c>
    </row>
    <row r="604" spans="1:10" x14ac:dyDescent="0.35">
      <c r="A604" s="1" t="s">
        <v>134</v>
      </c>
      <c r="B604">
        <v>60</v>
      </c>
      <c r="C604" t="s">
        <v>901</v>
      </c>
      <c r="E604" s="4">
        <f>SUM($F$9:G603)+0.1</f>
        <v>513.1</v>
      </c>
      <c r="J604" s="11" t="s">
        <v>1609</v>
      </c>
    </row>
    <row r="605" spans="1:10" x14ac:dyDescent="0.35">
      <c r="A605" s="1" t="s">
        <v>655</v>
      </c>
      <c r="B605">
        <v>60</v>
      </c>
      <c r="C605" t="s">
        <v>901</v>
      </c>
      <c r="E605" s="4">
        <f>SUM($F$9:G604)+0.1</f>
        <v>513.1</v>
      </c>
      <c r="J605" s="11" t="s">
        <v>1610</v>
      </c>
    </row>
    <row r="606" spans="1:10" x14ac:dyDescent="0.35">
      <c r="A606" s="1" t="s">
        <v>135</v>
      </c>
      <c r="B606">
        <v>60</v>
      </c>
      <c r="E606" s="4">
        <f>SUM($F$9:G605)+0.1</f>
        <v>513.1</v>
      </c>
      <c r="J606" s="11" t="s">
        <v>1611</v>
      </c>
    </row>
    <row r="607" spans="1:10" x14ac:dyDescent="0.35">
      <c r="A607" s="1" t="s">
        <v>161</v>
      </c>
      <c r="B607">
        <v>60</v>
      </c>
      <c r="E607" s="4">
        <f>SUM($F$9:G606)+0.1</f>
        <v>513.1</v>
      </c>
      <c r="J607" s="11" t="s">
        <v>1612</v>
      </c>
    </row>
    <row r="608" spans="1:10" x14ac:dyDescent="0.35">
      <c r="A608" s="1" t="s">
        <v>656</v>
      </c>
      <c r="B608">
        <v>60</v>
      </c>
      <c r="C608">
        <v>1</v>
      </c>
      <c r="E608" s="4">
        <f>SUM($F$9:G607)+0.1</f>
        <v>513.1</v>
      </c>
      <c r="J608" s="11" t="s">
        <v>1613</v>
      </c>
    </row>
    <row r="609" spans="1:10" x14ac:dyDescent="0.35">
      <c r="A609" s="1" t="s">
        <v>431</v>
      </c>
      <c r="B609">
        <v>60</v>
      </c>
      <c r="C609" t="s">
        <v>900</v>
      </c>
      <c r="E609" s="4">
        <f>SUM($F$9:G608)+0.1</f>
        <v>513.1</v>
      </c>
      <c r="F609">
        <v>1</v>
      </c>
      <c r="J609" s="11" t="s">
        <v>1614</v>
      </c>
    </row>
    <row r="610" spans="1:10" x14ac:dyDescent="0.35">
      <c r="A610" s="1" t="s">
        <v>136</v>
      </c>
      <c r="B610">
        <v>60</v>
      </c>
      <c r="E610" s="4">
        <f>SUM($F$9:G609)+0.1</f>
        <v>514.1</v>
      </c>
      <c r="F610">
        <v>1</v>
      </c>
      <c r="J610" s="9" t="s">
        <v>1615</v>
      </c>
    </row>
    <row r="611" spans="1:10" x14ac:dyDescent="0.35">
      <c r="A611" s="1" t="s">
        <v>767</v>
      </c>
      <c r="B611">
        <v>60</v>
      </c>
      <c r="E611" s="4">
        <f>SUM($F$9:G610)+0.1</f>
        <v>515.1</v>
      </c>
      <c r="F611">
        <v>1</v>
      </c>
      <c r="J611" s="9" t="s">
        <v>1616</v>
      </c>
    </row>
    <row r="612" spans="1:10" x14ac:dyDescent="0.35">
      <c r="A612" s="1" t="s">
        <v>432</v>
      </c>
      <c r="B612">
        <v>60</v>
      </c>
      <c r="E612" s="4">
        <f>SUM($F$9:G611)+0.1</f>
        <v>516.1</v>
      </c>
      <c r="J612" s="9" t="s">
        <v>1617</v>
      </c>
    </row>
    <row r="613" spans="1:10" x14ac:dyDescent="0.35">
      <c r="A613" s="1" t="s">
        <v>768</v>
      </c>
      <c r="B613">
        <v>60</v>
      </c>
      <c r="E613" s="4">
        <f>SUM($F$9:G612)+0.1</f>
        <v>516.1</v>
      </c>
      <c r="J613" s="9" t="s">
        <v>1618</v>
      </c>
    </row>
    <row r="614" spans="1:10" x14ac:dyDescent="0.35">
      <c r="A614" s="1" t="s">
        <v>204</v>
      </c>
      <c r="B614">
        <v>60</v>
      </c>
      <c r="E614" s="4">
        <f>SUM($F$9:G613)+0.1</f>
        <v>516.1</v>
      </c>
      <c r="J614" s="9" t="s">
        <v>1619</v>
      </c>
    </row>
    <row r="615" spans="1:10" x14ac:dyDescent="0.35">
      <c r="A615" s="1" t="s">
        <v>892</v>
      </c>
      <c r="B615">
        <v>60</v>
      </c>
      <c r="E615" s="4">
        <f>SUM($F$9:G614)+0.1</f>
        <v>516.1</v>
      </c>
      <c r="J615" s="9" t="s">
        <v>1620</v>
      </c>
    </row>
    <row r="616" spans="1:10" x14ac:dyDescent="0.35">
      <c r="A616" s="1" t="s">
        <v>872</v>
      </c>
      <c r="B616">
        <v>60</v>
      </c>
      <c r="E616" s="4">
        <f>SUM($F$9:G615)+0.1</f>
        <v>516.1</v>
      </c>
      <c r="J616" s="9" t="s">
        <v>1621</v>
      </c>
    </row>
    <row r="617" spans="1:10" x14ac:dyDescent="0.35">
      <c r="A617" s="1" t="s">
        <v>434</v>
      </c>
      <c r="B617">
        <v>60</v>
      </c>
      <c r="E617" s="4">
        <f>SUM($F$9:G616)+0.1</f>
        <v>516.1</v>
      </c>
      <c r="J617" s="9" t="s">
        <v>1622</v>
      </c>
    </row>
    <row r="618" spans="1:10" x14ac:dyDescent="0.35">
      <c r="A618" s="1" t="s">
        <v>573</v>
      </c>
      <c r="B618">
        <v>60</v>
      </c>
      <c r="E618" s="4">
        <f>SUM($F$9:G617)+0.1</f>
        <v>516.1</v>
      </c>
      <c r="J618" s="9" t="s">
        <v>1623</v>
      </c>
    </row>
    <row r="619" spans="1:10" x14ac:dyDescent="0.35">
      <c r="A619" s="1" t="s">
        <v>770</v>
      </c>
      <c r="B619">
        <v>60</v>
      </c>
      <c r="E619" s="4">
        <f>SUM($F$9:G618)+0.1</f>
        <v>516.1</v>
      </c>
      <c r="J619" s="9" t="s">
        <v>1624</v>
      </c>
    </row>
    <row r="620" spans="1:10" x14ac:dyDescent="0.35">
      <c r="A620" s="1" t="s">
        <v>435</v>
      </c>
      <c r="B620">
        <v>60</v>
      </c>
      <c r="C620" t="s">
        <v>901</v>
      </c>
      <c r="E620" s="4">
        <f>SUM($F$9:G619)+0.1</f>
        <v>516.1</v>
      </c>
      <c r="J620" s="9" t="s">
        <v>1625</v>
      </c>
    </row>
    <row r="621" spans="1:10" x14ac:dyDescent="0.35">
      <c r="A621" s="1" t="s">
        <v>769</v>
      </c>
      <c r="B621">
        <v>60</v>
      </c>
      <c r="C621" t="s">
        <v>900</v>
      </c>
      <c r="E621" s="4">
        <f>SUM($F$9:G620)+0.1</f>
        <v>516.1</v>
      </c>
      <c r="J621" s="9" t="s">
        <v>1626</v>
      </c>
    </row>
    <row r="622" spans="1:10" x14ac:dyDescent="0.35">
      <c r="A622" s="1" t="s">
        <v>167</v>
      </c>
      <c r="B622">
        <v>60</v>
      </c>
      <c r="E622" s="4">
        <f>SUM($F$9:G621)+0.1</f>
        <v>516.1</v>
      </c>
      <c r="J622" s="9" t="s">
        <v>1627</v>
      </c>
    </row>
    <row r="623" spans="1:10" x14ac:dyDescent="0.35">
      <c r="A623" s="1" t="s">
        <v>771</v>
      </c>
      <c r="B623">
        <v>60</v>
      </c>
      <c r="E623" s="4">
        <f>SUM($F$9:G622)+0.1</f>
        <v>516.1</v>
      </c>
      <c r="J623" s="9" t="s">
        <v>1628</v>
      </c>
    </row>
    <row r="624" spans="1:10" x14ac:dyDescent="0.35">
      <c r="A624" s="1" t="s">
        <v>138</v>
      </c>
      <c r="B624">
        <v>60</v>
      </c>
      <c r="C624" t="s">
        <v>903</v>
      </c>
      <c r="E624" s="4">
        <f>SUM($F$9:G623)+0.1</f>
        <v>516.1</v>
      </c>
      <c r="J624" s="9" t="s">
        <v>1629</v>
      </c>
    </row>
    <row r="625" spans="1:10" x14ac:dyDescent="0.35">
      <c r="A625" s="1" t="s">
        <v>574</v>
      </c>
      <c r="B625">
        <v>60</v>
      </c>
      <c r="C625">
        <v>1</v>
      </c>
      <c r="E625" s="4">
        <f>SUM($F$9:G624)+0.1</f>
        <v>516.1</v>
      </c>
      <c r="J625" s="9" t="s">
        <v>1630</v>
      </c>
    </row>
    <row r="626" spans="1:10" x14ac:dyDescent="0.35">
      <c r="A626" s="1" t="s">
        <v>893</v>
      </c>
      <c r="B626">
        <v>60</v>
      </c>
      <c r="E626" s="4">
        <f>SUM($F$9:G625)+0.1</f>
        <v>516.1</v>
      </c>
      <c r="F626">
        <v>1</v>
      </c>
      <c r="J626" s="9" t="s">
        <v>1631</v>
      </c>
    </row>
    <row r="627" spans="1:10" x14ac:dyDescent="0.35">
      <c r="A627" s="1" t="s">
        <v>139</v>
      </c>
      <c r="B627">
        <v>60</v>
      </c>
      <c r="E627" s="4">
        <f>SUM($F$9:G626)+0.1</f>
        <v>517.1</v>
      </c>
      <c r="J627" s="9" t="s">
        <v>1632</v>
      </c>
    </row>
    <row r="628" spans="1:10" x14ac:dyDescent="0.35">
      <c r="A628" s="1" t="s">
        <v>140</v>
      </c>
      <c r="B628">
        <v>60</v>
      </c>
      <c r="E628" s="4">
        <f>SUM($F$9:G627)+0.1</f>
        <v>517.1</v>
      </c>
      <c r="J628" s="9" t="s">
        <v>1633</v>
      </c>
    </row>
    <row r="629" spans="1:10" x14ac:dyDescent="0.35">
      <c r="A629" s="1" t="s">
        <v>438</v>
      </c>
      <c r="B629">
        <v>60</v>
      </c>
      <c r="E629" s="4">
        <f>SUM($F$9:G628)+0.1</f>
        <v>517.1</v>
      </c>
      <c r="J629" s="9" t="s">
        <v>1634</v>
      </c>
    </row>
    <row r="630" spans="1:10" x14ac:dyDescent="0.35">
      <c r="A630" s="1" t="s">
        <v>918</v>
      </c>
      <c r="B630">
        <v>60</v>
      </c>
      <c r="E630" s="4">
        <f>SUM($F$9:G629)+0.1</f>
        <v>517.1</v>
      </c>
      <c r="J630" s="9" t="s">
        <v>1635</v>
      </c>
    </row>
    <row r="631" spans="1:10" x14ac:dyDescent="0.35">
      <c r="A631" s="1" t="s">
        <v>439</v>
      </c>
      <c r="B631">
        <v>60</v>
      </c>
      <c r="E631" s="4">
        <f>SUM($F$9:G630)+0.1</f>
        <v>517.1</v>
      </c>
      <c r="J631" s="9" t="s">
        <v>1636</v>
      </c>
    </row>
    <row r="632" spans="1:10" x14ac:dyDescent="0.35">
      <c r="A632" s="1" t="s">
        <v>440</v>
      </c>
      <c r="B632">
        <v>60</v>
      </c>
      <c r="C632" t="s">
        <v>900</v>
      </c>
      <c r="E632" s="4">
        <f>SUM($F$9:G631)+0.1</f>
        <v>517.1</v>
      </c>
      <c r="J632" s="9" t="s">
        <v>1637</v>
      </c>
    </row>
    <row r="633" spans="1:10" x14ac:dyDescent="0.35">
      <c r="A633" s="1" t="s">
        <v>575</v>
      </c>
      <c r="B633">
        <v>60</v>
      </c>
      <c r="C633" t="s">
        <v>901</v>
      </c>
      <c r="E633" s="4">
        <f>SUM($F$9:G632)+0.1</f>
        <v>517.1</v>
      </c>
      <c r="F633">
        <v>1</v>
      </c>
      <c r="J633" s="9" t="s">
        <v>1638</v>
      </c>
    </row>
    <row r="634" spans="1:10" x14ac:dyDescent="0.35">
      <c r="A634" s="1" t="s">
        <v>194</v>
      </c>
      <c r="B634">
        <v>60</v>
      </c>
      <c r="C634" t="s">
        <v>901</v>
      </c>
      <c r="E634" s="4">
        <f>SUM($F$9:G633)+0.1</f>
        <v>518.1</v>
      </c>
      <c r="J634" s="9" t="s">
        <v>1639</v>
      </c>
    </row>
    <row r="635" spans="1:10" x14ac:dyDescent="0.35">
      <c r="A635" s="1" t="s">
        <v>894</v>
      </c>
      <c r="B635">
        <v>60</v>
      </c>
      <c r="E635" s="4">
        <f>SUM($F$9:G634)+0.1</f>
        <v>518.1</v>
      </c>
      <c r="J635" s="9" t="s">
        <v>1640</v>
      </c>
    </row>
    <row r="636" spans="1:10" x14ac:dyDescent="0.35">
      <c r="A636" s="1" t="s">
        <v>758</v>
      </c>
      <c r="B636">
        <v>60</v>
      </c>
      <c r="E636" s="4">
        <f>SUM($F$9:G635)+0.1</f>
        <v>518.1</v>
      </c>
      <c r="J636" s="9" t="s">
        <v>1641</v>
      </c>
    </row>
    <row r="637" spans="1:10" x14ac:dyDescent="0.35">
      <c r="A637" s="1" t="s">
        <v>441</v>
      </c>
      <c r="B637">
        <v>60</v>
      </c>
      <c r="E637" s="4">
        <f>SUM($F$9:G636)+0.1</f>
        <v>518.1</v>
      </c>
      <c r="J637" s="9" t="s">
        <v>1642</v>
      </c>
    </row>
    <row r="638" spans="1:10" x14ac:dyDescent="0.35">
      <c r="A638" s="1" t="s">
        <v>141</v>
      </c>
      <c r="B638">
        <v>60</v>
      </c>
      <c r="E638" s="4">
        <f>SUM($F$9:G637)+0.1</f>
        <v>518.1</v>
      </c>
      <c r="F638">
        <v>5</v>
      </c>
      <c r="J638" s="9" t="s">
        <v>1643</v>
      </c>
    </row>
    <row r="639" spans="1:10" x14ac:dyDescent="0.35">
      <c r="A639" s="1" t="s">
        <v>650</v>
      </c>
      <c r="B639">
        <v>60</v>
      </c>
      <c r="C639" t="s">
        <v>900</v>
      </c>
      <c r="E639" s="4">
        <f>SUM($F$9:G638)+0.1</f>
        <v>523.1</v>
      </c>
      <c r="J639" s="9" t="s">
        <v>1644</v>
      </c>
    </row>
    <row r="640" spans="1:10" x14ac:dyDescent="0.35">
      <c r="A640" s="12" t="s">
        <v>174</v>
      </c>
      <c r="B640">
        <v>60</v>
      </c>
      <c r="E640" s="4">
        <f>SUM($F$9:G639)+0.1</f>
        <v>523.1</v>
      </c>
      <c r="J640" s="9" t="s">
        <v>1645</v>
      </c>
    </row>
    <row r="641" spans="1:10" x14ac:dyDescent="0.35">
      <c r="A641" s="1" t="s">
        <v>175</v>
      </c>
      <c r="B641">
        <v>60</v>
      </c>
      <c r="D641" t="s">
        <v>174</v>
      </c>
      <c r="E641" s="4">
        <f>SUM($F$9:G640)+0.1</f>
        <v>523.1</v>
      </c>
      <c r="J641" s="9" t="s">
        <v>1646</v>
      </c>
    </row>
    <row r="642" spans="1:10" x14ac:dyDescent="0.35">
      <c r="A642" s="1" t="s">
        <v>444</v>
      </c>
      <c r="B642">
        <v>60</v>
      </c>
      <c r="C642" t="s">
        <v>900</v>
      </c>
      <c r="E642" s="4">
        <f>SUM($F$9:G641)+0.1</f>
        <v>523.1</v>
      </c>
      <c r="J642" s="9" t="s">
        <v>1647</v>
      </c>
    </row>
    <row r="643" spans="1:10" x14ac:dyDescent="0.35">
      <c r="A643" s="1" t="s">
        <v>143</v>
      </c>
      <c r="B643">
        <v>60</v>
      </c>
      <c r="E643" s="4">
        <f>SUM($F$9:G642)+0.1</f>
        <v>523.1</v>
      </c>
      <c r="J643" s="9" t="s">
        <v>1648</v>
      </c>
    </row>
    <row r="644" spans="1:10" x14ac:dyDescent="0.35">
      <c r="A644" s="1" t="s">
        <v>772</v>
      </c>
      <c r="B644">
        <v>60</v>
      </c>
      <c r="E644" s="4">
        <f>SUM($F$9:G643)+0.1</f>
        <v>523.1</v>
      </c>
      <c r="J644" s="9" t="s">
        <v>1649</v>
      </c>
    </row>
    <row r="645" spans="1:10" x14ac:dyDescent="0.35">
      <c r="A645" s="1" t="s">
        <v>445</v>
      </c>
      <c r="B645">
        <v>60</v>
      </c>
      <c r="E645" s="4">
        <f>SUM($F$9:G644)+0.1</f>
        <v>523.1</v>
      </c>
      <c r="J645" s="9" t="s">
        <v>1650</v>
      </c>
    </row>
    <row r="646" spans="1:10" x14ac:dyDescent="0.35">
      <c r="A646" s="1" t="s">
        <v>428</v>
      </c>
      <c r="B646">
        <v>60</v>
      </c>
      <c r="E646" s="4">
        <f>SUM($F$9:G645)+0.1</f>
        <v>523.1</v>
      </c>
      <c r="F646">
        <v>6</v>
      </c>
      <c r="J646" s="9" t="s">
        <v>1651</v>
      </c>
    </row>
    <row r="647" spans="1:10" x14ac:dyDescent="0.35">
      <c r="A647" s="1" t="s">
        <v>144</v>
      </c>
      <c r="B647">
        <v>60</v>
      </c>
      <c r="C647" t="s">
        <v>901</v>
      </c>
      <c r="E647" s="4">
        <f>SUM($F$9:G646)+0.1</f>
        <v>529.1</v>
      </c>
      <c r="J647" s="9" t="s">
        <v>1652</v>
      </c>
    </row>
    <row r="648" spans="1:10" x14ac:dyDescent="0.35">
      <c r="A648" s="1" t="s">
        <v>446</v>
      </c>
      <c r="B648">
        <v>60</v>
      </c>
      <c r="C648" t="s">
        <v>901</v>
      </c>
      <c r="E648" s="4">
        <f>SUM($F$9:G647)+0.1</f>
        <v>529.1</v>
      </c>
      <c r="J648" s="9" t="s">
        <v>1653</v>
      </c>
    </row>
    <row r="649" spans="1:10" x14ac:dyDescent="0.35">
      <c r="A649" s="1" t="s">
        <v>759</v>
      </c>
      <c r="B649">
        <v>60</v>
      </c>
      <c r="C649" t="s">
        <v>900</v>
      </c>
      <c r="E649" s="4">
        <f>SUM($F$9:G648)+0.1</f>
        <v>529.1</v>
      </c>
      <c r="J649" s="9" t="s">
        <v>1654</v>
      </c>
    </row>
    <row r="650" spans="1:10" x14ac:dyDescent="0.35">
      <c r="A650" s="1" t="s">
        <v>576</v>
      </c>
      <c r="B650">
        <v>60</v>
      </c>
      <c r="E650" s="4">
        <f>SUM($F$9:G649)+0.1</f>
        <v>529.1</v>
      </c>
      <c r="J650" s="9" t="s">
        <v>1655</v>
      </c>
    </row>
    <row r="651" spans="1:10" x14ac:dyDescent="0.35">
      <c r="A651" s="1" t="s">
        <v>210</v>
      </c>
      <c r="B651">
        <v>60</v>
      </c>
      <c r="C651" t="s">
        <v>901</v>
      </c>
      <c r="E651" s="4">
        <f>SUM($F$9:G650)+0.1</f>
        <v>529.1</v>
      </c>
      <c r="J651" s="9" t="s">
        <v>1656</v>
      </c>
    </row>
    <row r="652" spans="1:10" x14ac:dyDescent="0.35">
      <c r="A652" s="1" t="s">
        <v>840</v>
      </c>
      <c r="B652">
        <v>60</v>
      </c>
      <c r="C652" t="s">
        <v>901</v>
      </c>
      <c r="E652" s="4">
        <f>SUM($F$9:G651)+0.1</f>
        <v>529.1</v>
      </c>
      <c r="J652" s="9" t="s">
        <v>1657</v>
      </c>
    </row>
    <row r="653" spans="1:10" x14ac:dyDescent="0.35">
      <c r="A653" s="1" t="s">
        <v>447</v>
      </c>
      <c r="B653">
        <v>60</v>
      </c>
      <c r="E653" s="4">
        <f>SUM($F$9:G652)+0.1</f>
        <v>529.1</v>
      </c>
      <c r="F653">
        <v>2</v>
      </c>
      <c r="J653" s="9" t="s">
        <v>1658</v>
      </c>
    </row>
    <row r="654" spans="1:10" x14ac:dyDescent="0.35">
      <c r="A654" s="1" t="s">
        <v>577</v>
      </c>
      <c r="B654">
        <v>60</v>
      </c>
      <c r="C654" t="s">
        <v>901</v>
      </c>
      <c r="E654" s="4">
        <f>SUM($F$9:G653)+0.1</f>
        <v>531.1</v>
      </c>
      <c r="J654" s="9" t="s">
        <v>1659</v>
      </c>
    </row>
    <row r="655" spans="1:10" x14ac:dyDescent="0.35">
      <c r="A655" s="1" t="s">
        <v>760</v>
      </c>
      <c r="B655">
        <v>60</v>
      </c>
      <c r="E655" s="4">
        <f>SUM($F$9:G654)+0.1</f>
        <v>531.1</v>
      </c>
      <c r="J655" s="9" t="s">
        <v>1660</v>
      </c>
    </row>
    <row r="656" spans="1:10" x14ac:dyDescent="0.35">
      <c r="A656" s="12" t="s">
        <v>145</v>
      </c>
      <c r="B656">
        <v>60</v>
      </c>
      <c r="E656" s="4">
        <f>SUM($F$9:G655)+0.1</f>
        <v>531.1</v>
      </c>
      <c r="F656">
        <v>15</v>
      </c>
      <c r="J656" s="9" t="s">
        <v>1661</v>
      </c>
    </row>
    <row r="657" spans="1:10" x14ac:dyDescent="0.35">
      <c r="A657" s="1" t="s">
        <v>450</v>
      </c>
      <c r="B657">
        <v>60</v>
      </c>
      <c r="C657" t="s">
        <v>901</v>
      </c>
      <c r="E657" s="4">
        <f>SUM($F$9:G656)+0.1</f>
        <v>546.1</v>
      </c>
      <c r="J657" s="9" t="s">
        <v>1662</v>
      </c>
    </row>
    <row r="658" spans="1:10" x14ac:dyDescent="0.35">
      <c r="A658" s="1" t="s">
        <v>774</v>
      </c>
      <c r="B658">
        <v>60</v>
      </c>
      <c r="C658" t="s">
        <v>900</v>
      </c>
      <c r="E658" s="4">
        <f>SUM($F$9:G657)+0.1</f>
        <v>546.1</v>
      </c>
      <c r="J658" s="9" t="s">
        <v>1663</v>
      </c>
    </row>
    <row r="659" spans="1:10" x14ac:dyDescent="0.35">
      <c r="A659" s="1" t="s">
        <v>651</v>
      </c>
      <c r="B659">
        <v>60</v>
      </c>
      <c r="E659" s="4">
        <f>SUM($F$9:G658)+0.1</f>
        <v>546.1</v>
      </c>
      <c r="J659" s="9" t="s">
        <v>1664</v>
      </c>
    </row>
    <row r="660" spans="1:10" x14ac:dyDescent="0.35">
      <c r="A660" s="1" t="s">
        <v>451</v>
      </c>
      <c r="B660">
        <v>60</v>
      </c>
      <c r="C660" t="s">
        <v>901</v>
      </c>
      <c r="E660" s="4">
        <f>SUM($F$9:G659)+0.1</f>
        <v>546.1</v>
      </c>
      <c r="J660" s="9" t="s">
        <v>1665</v>
      </c>
    </row>
    <row r="661" spans="1:10" x14ac:dyDescent="0.35">
      <c r="A661" s="1" t="s">
        <v>219</v>
      </c>
      <c r="B661">
        <v>60</v>
      </c>
      <c r="E661" s="4">
        <f>SUM($F$9:G660)+0.1</f>
        <v>546.1</v>
      </c>
      <c r="J661" s="9" t="s">
        <v>1666</v>
      </c>
    </row>
    <row r="662" spans="1:10" x14ac:dyDescent="0.35">
      <c r="A662" s="1" t="s">
        <v>775</v>
      </c>
      <c r="B662">
        <v>60</v>
      </c>
      <c r="C662" t="s">
        <v>901</v>
      </c>
      <c r="E662" s="4">
        <f>SUM($F$9:G661)+0.1</f>
        <v>546.1</v>
      </c>
      <c r="F662">
        <v>5</v>
      </c>
      <c r="J662" s="9" t="s">
        <v>1667</v>
      </c>
    </row>
    <row r="663" spans="1:10" x14ac:dyDescent="0.35">
      <c r="A663" s="1" t="s">
        <v>453</v>
      </c>
      <c r="B663">
        <v>60</v>
      </c>
      <c r="C663">
        <v>1</v>
      </c>
      <c r="E663" s="4">
        <f>SUM($F$9:G662)+0.1</f>
        <v>551.1</v>
      </c>
      <c r="J663" s="9" t="s">
        <v>1668</v>
      </c>
    </row>
    <row r="664" spans="1:10" x14ac:dyDescent="0.35">
      <c r="A664" s="1" t="s">
        <v>761</v>
      </c>
      <c r="B664">
        <v>60</v>
      </c>
      <c r="E664" s="4">
        <f>SUM($F$9:G663)+0.1</f>
        <v>551.1</v>
      </c>
      <c r="F664">
        <v>13</v>
      </c>
      <c r="J664" s="9" t="s">
        <v>1669</v>
      </c>
    </row>
    <row r="665" spans="1:10" x14ac:dyDescent="0.35">
      <c r="A665" s="1" t="s">
        <v>652</v>
      </c>
      <c r="B665">
        <v>60</v>
      </c>
      <c r="C665" t="s">
        <v>901</v>
      </c>
      <c r="D665" t="s">
        <v>919</v>
      </c>
      <c r="E665" s="4">
        <f>SUM($F$9:G664)+0.1</f>
        <v>564.1</v>
      </c>
      <c r="J665" s="9" t="s">
        <v>1670</v>
      </c>
    </row>
    <row r="666" spans="1:10" x14ac:dyDescent="0.35">
      <c r="A666" s="1" t="s">
        <v>653</v>
      </c>
      <c r="B666">
        <v>60</v>
      </c>
      <c r="C666" t="s">
        <v>901</v>
      </c>
      <c r="E666" s="4">
        <f>SUM($F$9:G665)+0.1</f>
        <v>564.1</v>
      </c>
      <c r="J666" s="9" t="s">
        <v>1671</v>
      </c>
    </row>
    <row r="667" spans="1:10" x14ac:dyDescent="0.35">
      <c r="A667" s="1" t="s">
        <v>454</v>
      </c>
      <c r="B667">
        <v>60</v>
      </c>
      <c r="C667" t="s">
        <v>901</v>
      </c>
      <c r="E667" s="4">
        <f>SUM($F$9:G666)+0.1</f>
        <v>564.1</v>
      </c>
      <c r="J667" s="9" t="s">
        <v>1672</v>
      </c>
    </row>
    <row r="668" spans="1:10" x14ac:dyDescent="0.35">
      <c r="A668" s="1" t="s">
        <v>455</v>
      </c>
      <c r="B668">
        <v>60</v>
      </c>
      <c r="C668" t="s">
        <v>900</v>
      </c>
      <c r="E668" s="4">
        <f>SUM($F$9:G667)+0.1</f>
        <v>564.1</v>
      </c>
      <c r="J668" s="9" t="s">
        <v>1673</v>
      </c>
    </row>
    <row r="669" spans="1:10" x14ac:dyDescent="0.35">
      <c r="A669" s="1" t="s">
        <v>895</v>
      </c>
      <c r="B669">
        <v>60</v>
      </c>
      <c r="E669" s="4">
        <f>SUM($F$9:G668)+0.1</f>
        <v>564.1</v>
      </c>
      <c r="J669" s="9" t="s">
        <v>1674</v>
      </c>
    </row>
    <row r="670" spans="1:10" x14ac:dyDescent="0.35">
      <c r="A670" s="1" t="s">
        <v>654</v>
      </c>
      <c r="B670">
        <v>60</v>
      </c>
      <c r="E670" s="4">
        <f>SUM($F$9:G669)+0.1</f>
        <v>564.1</v>
      </c>
      <c r="J670" s="9" t="s">
        <v>1675</v>
      </c>
    </row>
    <row r="671" spans="1:10" x14ac:dyDescent="0.35">
      <c r="A671" s="1" t="s">
        <v>581</v>
      </c>
      <c r="B671">
        <v>60</v>
      </c>
      <c r="E671" s="4">
        <f>SUM($F$9:G670)+0.1</f>
        <v>564.1</v>
      </c>
      <c r="F671">
        <v>2</v>
      </c>
      <c r="J671" s="9" t="s">
        <v>1676</v>
      </c>
    </row>
    <row r="672" spans="1:10" x14ac:dyDescent="0.35">
      <c r="A672" s="1" t="s">
        <v>148</v>
      </c>
      <c r="B672">
        <v>60</v>
      </c>
      <c r="E672" s="4">
        <f>SUM($F$9:G671)+0.1</f>
        <v>566.1</v>
      </c>
      <c r="F672">
        <v>1</v>
      </c>
      <c r="J672" s="9" t="s">
        <v>1677</v>
      </c>
    </row>
    <row r="673" spans="1:10" x14ac:dyDescent="0.35">
      <c r="A673" s="12" t="s">
        <v>149</v>
      </c>
      <c r="B673">
        <v>60</v>
      </c>
      <c r="E673" s="4">
        <f>SUM($F$9:G672)+0.1</f>
        <v>567.1</v>
      </c>
      <c r="F673">
        <v>15</v>
      </c>
      <c r="J673" s="9" t="s">
        <v>1678</v>
      </c>
    </row>
    <row r="674" spans="1:10" x14ac:dyDescent="0.35">
      <c r="A674" s="12" t="s">
        <v>429</v>
      </c>
      <c r="B674">
        <v>60</v>
      </c>
      <c r="E674" s="4">
        <f>SUM($F$9:G673)+0.1</f>
        <v>582.1</v>
      </c>
      <c r="F674">
        <v>150</v>
      </c>
      <c r="G674">
        <v>750</v>
      </c>
      <c r="J674" s="9" t="s">
        <v>1679</v>
      </c>
    </row>
    <row r="675" spans="1:10" x14ac:dyDescent="0.35">
      <c r="A675" s="1" t="s">
        <v>891</v>
      </c>
      <c r="B675">
        <v>60</v>
      </c>
      <c r="C675">
        <v>1</v>
      </c>
      <c r="E675" s="4">
        <f>SUM($F$9:G674)+0.1</f>
        <v>1482.1</v>
      </c>
      <c r="J675" s="9" t="s">
        <v>1680</v>
      </c>
    </row>
    <row r="676" spans="1:10" x14ac:dyDescent="0.35">
      <c r="A676" s="1" t="s">
        <v>457</v>
      </c>
      <c r="B676">
        <v>60</v>
      </c>
      <c r="C676" t="s">
        <v>901</v>
      </c>
      <c r="E676" s="4">
        <f>SUM($F$9:G675)+0.1</f>
        <v>1482.1</v>
      </c>
      <c r="J676" s="9" t="s">
        <v>1681</v>
      </c>
    </row>
    <row r="677" spans="1:10" x14ac:dyDescent="0.35">
      <c r="A677" s="1" t="s">
        <v>458</v>
      </c>
      <c r="B677">
        <v>60</v>
      </c>
      <c r="E677" s="4">
        <f>SUM($F$9:G676)+0.1</f>
        <v>1482.1</v>
      </c>
      <c r="J677" s="9" t="s">
        <v>1682</v>
      </c>
    </row>
    <row r="678" spans="1:10" x14ac:dyDescent="0.35">
      <c r="A678" s="1" t="s">
        <v>459</v>
      </c>
      <c r="B678">
        <v>60</v>
      </c>
      <c r="E678" s="4">
        <f>SUM($F$9:G677)+0.1</f>
        <v>1482.1</v>
      </c>
      <c r="J678" s="9" t="s">
        <v>1683</v>
      </c>
    </row>
    <row r="679" spans="1:10" x14ac:dyDescent="0.35">
      <c r="A679" s="12" t="s">
        <v>151</v>
      </c>
      <c r="B679">
        <v>60</v>
      </c>
      <c r="E679" s="4">
        <f>SUM($F$9:G678)+0.1</f>
        <v>1482.1</v>
      </c>
      <c r="J679" s="9" t="s">
        <v>1684</v>
      </c>
    </row>
    <row r="680" spans="1:10" x14ac:dyDescent="0.35">
      <c r="A680" s="1" t="s">
        <v>913</v>
      </c>
      <c r="B680">
        <v>60</v>
      </c>
      <c r="C680" t="s">
        <v>901</v>
      </c>
      <c r="E680" s="4">
        <f>SUM($F$9:G679)+0.1</f>
        <v>1482.1</v>
      </c>
      <c r="J680" s="9" t="s">
        <v>1685</v>
      </c>
    </row>
    <row r="681" spans="1:10" x14ac:dyDescent="0.35">
      <c r="A681" s="1" t="s">
        <v>152</v>
      </c>
      <c r="B681">
        <v>60</v>
      </c>
      <c r="E681" s="4">
        <f>SUM($F$9:G680)+0.1</f>
        <v>1482.1</v>
      </c>
      <c r="F681">
        <v>16</v>
      </c>
      <c r="J681" s="10" t="s">
        <v>1686</v>
      </c>
    </row>
    <row r="682" spans="1:10" x14ac:dyDescent="0.35">
      <c r="A682" s="12" t="s">
        <v>153</v>
      </c>
      <c r="B682">
        <v>60</v>
      </c>
      <c r="E682" s="4">
        <f>SUM($F$9:G681)+0.1</f>
        <v>1498.1</v>
      </c>
      <c r="F682">
        <v>1</v>
      </c>
      <c r="J682" s="10" t="s">
        <v>1687</v>
      </c>
    </row>
    <row r="683" spans="1:10" x14ac:dyDescent="0.35">
      <c r="A683" s="1" t="s">
        <v>460</v>
      </c>
      <c r="B683">
        <v>60</v>
      </c>
      <c r="E683" s="4">
        <f>SUM($F$9:G682)+0.1</f>
        <v>1499.1</v>
      </c>
      <c r="F683">
        <v>1</v>
      </c>
      <c r="J683" s="10" t="s">
        <v>1688</v>
      </c>
    </row>
    <row r="684" spans="1:10" x14ac:dyDescent="0.35">
      <c r="A684" s="1" t="s">
        <v>762</v>
      </c>
      <c r="B684">
        <v>60</v>
      </c>
      <c r="E684" s="4">
        <f>SUM($F$9:G683)+0.1</f>
        <v>1500.1</v>
      </c>
      <c r="J684" s="10" t="s">
        <v>1689</v>
      </c>
    </row>
    <row r="685" spans="1:10" x14ac:dyDescent="0.35">
      <c r="A685" s="1" t="s">
        <v>211</v>
      </c>
      <c r="B685">
        <v>60</v>
      </c>
      <c r="E685" s="4">
        <f>SUM($F$9:G684)+0.1</f>
        <v>1500.1</v>
      </c>
      <c r="J685" s="10" t="s">
        <v>1690</v>
      </c>
    </row>
    <row r="686" spans="1:10" x14ac:dyDescent="0.35">
      <c r="A686" s="1" t="s">
        <v>763</v>
      </c>
      <c r="B686">
        <v>60</v>
      </c>
      <c r="C686" t="s">
        <v>900</v>
      </c>
      <c r="E686" s="4">
        <f>SUM($F$9:G685)+0.1</f>
        <v>1500.1</v>
      </c>
      <c r="J686" s="10" t="s">
        <v>1691</v>
      </c>
    </row>
    <row r="687" spans="1:10" x14ac:dyDescent="0.35">
      <c r="A687" s="1" t="s">
        <v>659</v>
      </c>
      <c r="B687">
        <v>60</v>
      </c>
      <c r="C687" t="s">
        <v>901</v>
      </c>
      <c r="E687" s="4">
        <f>SUM($F$9:G686)+0.1</f>
        <v>1500.1</v>
      </c>
      <c r="J687" s="10" t="s">
        <v>1692</v>
      </c>
    </row>
    <row r="688" spans="1:10" x14ac:dyDescent="0.35">
      <c r="A688" s="1" t="s">
        <v>764</v>
      </c>
      <c r="B688">
        <v>60</v>
      </c>
      <c r="C688" t="s">
        <v>900</v>
      </c>
      <c r="E688" s="4">
        <f>SUM($F$9:G687)+0.1</f>
        <v>1500.1</v>
      </c>
      <c r="J688" s="10" t="s">
        <v>1693</v>
      </c>
    </row>
    <row r="689" spans="1:10" x14ac:dyDescent="0.35">
      <c r="A689" s="1" t="s">
        <v>765</v>
      </c>
      <c r="B689">
        <v>60</v>
      </c>
      <c r="C689" t="s">
        <v>900</v>
      </c>
      <c r="E689" s="4">
        <f>SUM($F$9:G688)+0.1</f>
        <v>1500.1</v>
      </c>
      <c r="J689" s="10" t="s">
        <v>1694</v>
      </c>
    </row>
    <row r="690" spans="1:10" x14ac:dyDescent="0.35">
      <c r="A690" s="1" t="s">
        <v>1861</v>
      </c>
      <c r="C690" t="s">
        <v>901</v>
      </c>
      <c r="E690" s="4">
        <f>SUM($F$9:G689)+0.1</f>
        <v>1500.1</v>
      </c>
      <c r="J690" s="11" t="s">
        <v>1695</v>
      </c>
    </row>
    <row r="691" spans="1:10" x14ac:dyDescent="0.35">
      <c r="A691" s="1" t="s">
        <v>1873</v>
      </c>
      <c r="E691" s="4">
        <f>SUM($F$9:G690)+0.1</f>
        <v>1500.1</v>
      </c>
      <c r="J691" s="10" t="s">
        <v>1696</v>
      </c>
    </row>
    <row r="692" spans="1:10" x14ac:dyDescent="0.35">
      <c r="A692" s="1" t="s">
        <v>1874</v>
      </c>
      <c r="E692" s="4">
        <f>SUM($F$9:G691)+0.1</f>
        <v>1500.1</v>
      </c>
      <c r="J692" s="10" t="s">
        <v>1697</v>
      </c>
    </row>
    <row r="693" spans="1:10" x14ac:dyDescent="0.35">
      <c r="A693" s="1" t="s">
        <v>1875</v>
      </c>
      <c r="E693" s="4">
        <f>SUM($F$9:G692)+0.1</f>
        <v>1500.1</v>
      </c>
      <c r="J693" s="11" t="s">
        <v>1698</v>
      </c>
    </row>
    <row r="694" spans="1:10" x14ac:dyDescent="0.35">
      <c r="A694" s="1" t="s">
        <v>1876</v>
      </c>
      <c r="E694" s="4">
        <f>SUM($F$9:G693)+0.1</f>
        <v>1500.1</v>
      </c>
      <c r="J694" s="10" t="s">
        <v>1699</v>
      </c>
    </row>
    <row r="695" spans="1:10" x14ac:dyDescent="0.35">
      <c r="A695" s="1" t="s">
        <v>1877</v>
      </c>
      <c r="E695" s="4">
        <f>SUM($F$9:G694)+0.1</f>
        <v>1500.1</v>
      </c>
      <c r="J695" s="10" t="s">
        <v>1700</v>
      </c>
    </row>
    <row r="696" spans="1:10" x14ac:dyDescent="0.35">
      <c r="A696" s="1" t="s">
        <v>1878</v>
      </c>
      <c r="E696" s="4">
        <f>SUM($F$9:G695)+0.1</f>
        <v>1500.1</v>
      </c>
      <c r="J696" s="10" t="s">
        <v>1701</v>
      </c>
    </row>
    <row r="697" spans="1:10" x14ac:dyDescent="0.35">
      <c r="A697" s="1" t="s">
        <v>1879</v>
      </c>
      <c r="E697" s="4">
        <f>SUM($F$9:G696)+0.1</f>
        <v>1500.1</v>
      </c>
      <c r="J697" s="11" t="s">
        <v>1702</v>
      </c>
    </row>
    <row r="698" spans="1:10" x14ac:dyDescent="0.35">
      <c r="A698" s="1" t="s">
        <v>1880</v>
      </c>
      <c r="E698" s="4">
        <f>SUM($F$9:G697)+0.1</f>
        <v>1500.1</v>
      </c>
      <c r="J698" s="10" t="s">
        <v>1703</v>
      </c>
    </row>
    <row r="699" spans="1:10" x14ac:dyDescent="0.35">
      <c r="A699" s="1" t="s">
        <v>1881</v>
      </c>
      <c r="E699" s="4">
        <f>SUM($F$9:G698)+0.1</f>
        <v>1500.1</v>
      </c>
      <c r="J699" s="10" t="s">
        <v>1704</v>
      </c>
    </row>
    <row r="700" spans="1:10" x14ac:dyDescent="0.35">
      <c r="A700" s="1" t="s">
        <v>1882</v>
      </c>
      <c r="E700" s="4">
        <f>SUM($F$9:G699)+0.1</f>
        <v>1500.1</v>
      </c>
      <c r="J700" s="11" t="s">
        <v>1705</v>
      </c>
    </row>
    <row r="701" spans="1:10" x14ac:dyDescent="0.35">
      <c r="A701" s="1" t="s">
        <v>1883</v>
      </c>
      <c r="E701" s="4">
        <f>SUM($F$9:G700)+0.1</f>
        <v>1500.1</v>
      </c>
      <c r="J701" s="10" t="s">
        <v>1706</v>
      </c>
    </row>
    <row r="702" spans="1:10" x14ac:dyDescent="0.35">
      <c r="A702" s="1" t="s">
        <v>1885</v>
      </c>
      <c r="E702" s="4">
        <f>SUM($F$9:G701)+0.1</f>
        <v>1500.1</v>
      </c>
      <c r="J702" s="10" t="s">
        <v>1707</v>
      </c>
    </row>
    <row r="703" spans="1:10" x14ac:dyDescent="0.35">
      <c r="A703" s="1" t="s">
        <v>1886</v>
      </c>
      <c r="E703" s="4">
        <f>SUM($F$9:G702)+0.1</f>
        <v>1500.1</v>
      </c>
      <c r="J703" s="11" t="s">
        <v>1708</v>
      </c>
    </row>
    <row r="704" spans="1:10" x14ac:dyDescent="0.35">
      <c r="A704" s="1" t="s">
        <v>1887</v>
      </c>
      <c r="E704" s="4">
        <f>SUM($F$9:G703)+0.1</f>
        <v>1500.1</v>
      </c>
      <c r="J704" s="10" t="s">
        <v>1709</v>
      </c>
    </row>
    <row r="705" spans="1:10" x14ac:dyDescent="0.35">
      <c r="A705" s="1" t="s">
        <v>1888</v>
      </c>
      <c r="E705" s="4">
        <f>SUM($F$9:G704)+0.1</f>
        <v>1500.1</v>
      </c>
      <c r="J705" s="11" t="s">
        <v>1710</v>
      </c>
    </row>
    <row r="706" spans="1:10" x14ac:dyDescent="0.35">
      <c r="A706" s="1" t="s">
        <v>1889</v>
      </c>
      <c r="E706" s="4">
        <f>SUM($F$9:G705)+0.1</f>
        <v>1500.1</v>
      </c>
      <c r="J706" s="10" t="s">
        <v>1711</v>
      </c>
    </row>
    <row r="707" spans="1:10" x14ac:dyDescent="0.35">
      <c r="A707" s="1" t="s">
        <v>1890</v>
      </c>
      <c r="E707" s="4">
        <f>SUM($F$9:G706)+0.1</f>
        <v>1500.1</v>
      </c>
      <c r="J707" s="11" t="s">
        <v>1712</v>
      </c>
    </row>
    <row r="708" spans="1:10" x14ac:dyDescent="0.35">
      <c r="A708" s="1" t="s">
        <v>1891</v>
      </c>
      <c r="E708" s="4">
        <f>SUM($F$9:G707)+0.1</f>
        <v>1500.1</v>
      </c>
      <c r="J708" s="10" t="s">
        <v>1713</v>
      </c>
    </row>
    <row r="709" spans="1:10" x14ac:dyDescent="0.35">
      <c r="A709" s="1" t="s">
        <v>1892</v>
      </c>
      <c r="E709" s="4">
        <f>SUM($F$9:G708)+0.1</f>
        <v>1500.1</v>
      </c>
      <c r="J709" s="11" t="s">
        <v>1714</v>
      </c>
    </row>
    <row r="710" spans="1:10" x14ac:dyDescent="0.35">
      <c r="A710" s="1" t="s">
        <v>1893</v>
      </c>
      <c r="E710" s="4">
        <f>SUM($F$9:G709)+0.1</f>
        <v>1500.1</v>
      </c>
      <c r="J710" s="10" t="s">
        <v>1715</v>
      </c>
    </row>
    <row r="711" spans="1:10" x14ac:dyDescent="0.35">
      <c r="A711" s="1" t="s">
        <v>1896</v>
      </c>
      <c r="E711" s="4">
        <f>SUM($F$9:G710)+0.1</f>
        <v>1500.1</v>
      </c>
      <c r="J711" s="11" t="s">
        <v>1716</v>
      </c>
    </row>
    <row r="712" spans="1:10" x14ac:dyDescent="0.35">
      <c r="A712" s="1" t="s">
        <v>1898</v>
      </c>
      <c r="E712" s="4">
        <f>SUM($F$9:G711)+0.1</f>
        <v>1500.1</v>
      </c>
      <c r="J712" s="10" t="s">
        <v>1717</v>
      </c>
    </row>
    <row r="713" spans="1:10" x14ac:dyDescent="0.35">
      <c r="A713" s="1" t="s">
        <v>1899</v>
      </c>
      <c r="E713" s="4">
        <f>SUM($F$9:G712)+0.1</f>
        <v>1500.1</v>
      </c>
      <c r="J713" s="11" t="s">
        <v>1718</v>
      </c>
    </row>
    <row r="714" spans="1:10" x14ac:dyDescent="0.35">
      <c r="A714" s="1" t="s">
        <v>1901</v>
      </c>
      <c r="E714" s="4">
        <f>SUM($F$9:G713)+0.1</f>
        <v>1500.1</v>
      </c>
      <c r="J714" s="10" t="s">
        <v>1719</v>
      </c>
    </row>
    <row r="715" spans="1:10" x14ac:dyDescent="0.35">
      <c r="A715" s="1" t="s">
        <v>1902</v>
      </c>
      <c r="E715" s="4">
        <f>SUM($F$9:G714)+0.1</f>
        <v>1500.1</v>
      </c>
      <c r="J715" s="10" t="s">
        <v>1720</v>
      </c>
    </row>
    <row r="716" spans="1:10" x14ac:dyDescent="0.35">
      <c r="A716" s="1" t="s">
        <v>1903</v>
      </c>
      <c r="E716" s="4">
        <f>SUM($F$9:G715)+0.1</f>
        <v>1500.1</v>
      </c>
      <c r="J716" s="10" t="s">
        <v>1721</v>
      </c>
    </row>
    <row r="717" spans="1:10" x14ac:dyDescent="0.35">
      <c r="A717" s="1" t="s">
        <v>1918</v>
      </c>
      <c r="E717" s="4">
        <f>SUM($F$9:G716)+0.1</f>
        <v>1500.1</v>
      </c>
      <c r="J717" s="11" t="s">
        <v>1722</v>
      </c>
    </row>
    <row r="718" spans="1:10" x14ac:dyDescent="0.35">
      <c r="A718" s="1" t="s">
        <v>1921</v>
      </c>
      <c r="E718" s="4">
        <f>SUM($F$9:G717)+0.1</f>
        <v>1500.1</v>
      </c>
      <c r="J718" s="10" t="s">
        <v>1723</v>
      </c>
    </row>
    <row r="719" spans="1:10" x14ac:dyDescent="0.35">
      <c r="A719" s="1" t="s">
        <v>1922</v>
      </c>
      <c r="E719" s="4">
        <f>SUM($F$9:G718)+0.1</f>
        <v>1500.1</v>
      </c>
      <c r="J719" s="10" t="s">
        <v>1724</v>
      </c>
    </row>
    <row r="720" spans="1:10" x14ac:dyDescent="0.35">
      <c r="A720" s="1" t="s">
        <v>1923</v>
      </c>
      <c r="E720" s="4">
        <f>SUM($F$9:G719)+0.1</f>
        <v>1500.1</v>
      </c>
      <c r="J720" s="10" t="s">
        <v>1725</v>
      </c>
    </row>
    <row r="721" spans="1:10" x14ac:dyDescent="0.35">
      <c r="A721" s="1" t="s">
        <v>1924</v>
      </c>
      <c r="E721" s="4">
        <f>SUM($F$9:G720)+0.1</f>
        <v>1500.1</v>
      </c>
      <c r="J721" s="11" t="s">
        <v>1726</v>
      </c>
    </row>
    <row r="722" spans="1:10" x14ac:dyDescent="0.35">
      <c r="A722" s="1" t="s">
        <v>1925</v>
      </c>
      <c r="E722" s="4">
        <f>SUM($F$9:G721)+0.1</f>
        <v>1500.1</v>
      </c>
      <c r="J722" s="10" t="s">
        <v>1727</v>
      </c>
    </row>
    <row r="723" spans="1:10" x14ac:dyDescent="0.35">
      <c r="A723" s="1" t="s">
        <v>1873</v>
      </c>
      <c r="E723" s="4">
        <f>SUM($F$9:G722)+0.1</f>
        <v>1500.1</v>
      </c>
      <c r="J723" s="10" t="s">
        <v>1728</v>
      </c>
    </row>
    <row r="724" spans="1:10" x14ac:dyDescent="0.35">
      <c r="A724" s="1" t="s">
        <v>1928</v>
      </c>
      <c r="E724" s="4">
        <f>SUM($F$9:G723)+0.1</f>
        <v>1500.1</v>
      </c>
      <c r="J724" s="10" t="s">
        <v>1729</v>
      </c>
    </row>
    <row r="725" spans="1:10" x14ac:dyDescent="0.35">
      <c r="A725" s="1" t="s">
        <v>1929</v>
      </c>
      <c r="E725" s="4">
        <f>SUM($F$9:G724)+0.1</f>
        <v>1500.1</v>
      </c>
      <c r="J725" s="11" t="s">
        <v>1730</v>
      </c>
    </row>
    <row r="726" spans="1:10" x14ac:dyDescent="0.35">
      <c r="A726" s="1" t="s">
        <v>1930</v>
      </c>
      <c r="E726" s="4">
        <f>SUM($F$9:G725)+0.1</f>
        <v>1500.1</v>
      </c>
      <c r="J726" s="10" t="s">
        <v>1731</v>
      </c>
    </row>
    <row r="727" spans="1:10" x14ac:dyDescent="0.35">
      <c r="A727" s="1" t="s">
        <v>1933</v>
      </c>
      <c r="E727" s="4">
        <f>SUM($F$9:G726)+0.1</f>
        <v>1500.1</v>
      </c>
      <c r="J727" s="10" t="s">
        <v>1732</v>
      </c>
    </row>
    <row r="728" spans="1:10" x14ac:dyDescent="0.35">
      <c r="A728" s="1" t="s">
        <v>1935</v>
      </c>
      <c r="E728" s="4">
        <f>SUM($F$9:G727)+0.1</f>
        <v>1500.1</v>
      </c>
      <c r="J728" s="10" t="s">
        <v>1733</v>
      </c>
    </row>
    <row r="729" spans="1:10" x14ac:dyDescent="0.35">
      <c r="A729" s="1" t="s">
        <v>1936</v>
      </c>
      <c r="E729" s="4">
        <f>SUM($F$9:G728)+0.1</f>
        <v>1500.1</v>
      </c>
      <c r="J729" s="10" t="s">
        <v>1734</v>
      </c>
    </row>
    <row r="730" spans="1:10" x14ac:dyDescent="0.35">
      <c r="A730" s="1" t="s">
        <v>1937</v>
      </c>
      <c r="E730" s="4">
        <f>SUM($F$9:G729)+0.1</f>
        <v>1500.1</v>
      </c>
      <c r="J730" s="10" t="s">
        <v>1735</v>
      </c>
    </row>
    <row r="731" spans="1:10" x14ac:dyDescent="0.35">
      <c r="A731" s="1" t="s">
        <v>1938</v>
      </c>
      <c r="E731" s="4">
        <f>SUM($F$9:G730)+0.1</f>
        <v>1500.1</v>
      </c>
      <c r="J731" s="10" t="s">
        <v>1736</v>
      </c>
    </row>
    <row r="732" spans="1:10" x14ac:dyDescent="0.35">
      <c r="A732" s="1" t="s">
        <v>1879</v>
      </c>
      <c r="E732" s="4">
        <f>SUM($F$9:G731)+0.1</f>
        <v>1500.1</v>
      </c>
      <c r="J732" s="10" t="s">
        <v>1737</v>
      </c>
    </row>
    <row r="733" spans="1:10" x14ac:dyDescent="0.35">
      <c r="A733" s="1" t="s">
        <v>1940</v>
      </c>
      <c r="E733" s="4">
        <f>SUM($F$9:G732)+0.1</f>
        <v>1500.1</v>
      </c>
      <c r="J733" s="10" t="s">
        <v>1738</v>
      </c>
    </row>
    <row r="734" spans="1:10" x14ac:dyDescent="0.35">
      <c r="A734" s="1" t="s">
        <v>1918</v>
      </c>
      <c r="E734" s="4">
        <f>SUM($F$9:G733)+0.1</f>
        <v>1500.1</v>
      </c>
      <c r="J734" s="10" t="s">
        <v>1739</v>
      </c>
    </row>
    <row r="735" spans="1:10" x14ac:dyDescent="0.35">
      <c r="E735" s="4">
        <f>SUM($F$9:G734)+0.1</f>
        <v>1500.1</v>
      </c>
      <c r="J735" s="10" t="s">
        <v>1740</v>
      </c>
    </row>
    <row r="736" spans="1:10" x14ac:dyDescent="0.35">
      <c r="E736" s="4">
        <f>SUM($F$9:G735)+0.1</f>
        <v>1500.1</v>
      </c>
      <c r="J736" s="10" t="s">
        <v>1741</v>
      </c>
    </row>
    <row r="737" spans="5:10" x14ac:dyDescent="0.35">
      <c r="E737" s="4">
        <f>SUM($F$9:G736)+0.1</f>
        <v>1500.1</v>
      </c>
      <c r="J737" s="10" t="s">
        <v>1742</v>
      </c>
    </row>
    <row r="738" spans="5:10" x14ac:dyDescent="0.35">
      <c r="E738" s="4">
        <f>SUM($F$9:G737)+0.1</f>
        <v>1500.1</v>
      </c>
      <c r="J738" s="10" t="s">
        <v>1743</v>
      </c>
    </row>
    <row r="739" spans="5:10" x14ac:dyDescent="0.35">
      <c r="E739" s="4">
        <f>SUM($F$9:G738)+0.1</f>
        <v>1500.1</v>
      </c>
      <c r="J739" s="10" t="s">
        <v>1744</v>
      </c>
    </row>
    <row r="740" spans="5:10" x14ac:dyDescent="0.35">
      <c r="E740" s="4">
        <f>SUM($F$9:G739)+0.1</f>
        <v>1500.1</v>
      </c>
      <c r="J740" s="10" t="s">
        <v>1745</v>
      </c>
    </row>
    <row r="741" spans="5:10" x14ac:dyDescent="0.35">
      <c r="E741" s="4">
        <f>SUM($F$9:G740)+0.1</f>
        <v>1500.1</v>
      </c>
      <c r="J741" s="9" t="s">
        <v>1746</v>
      </c>
    </row>
    <row r="742" spans="5:10" x14ac:dyDescent="0.35">
      <c r="E742" s="4">
        <f>SUM($F$9:G741)+0.1</f>
        <v>1500.1</v>
      </c>
      <c r="J742" s="9" t="s">
        <v>1747</v>
      </c>
    </row>
    <row r="743" spans="5:10" x14ac:dyDescent="0.35">
      <c r="E743" s="4">
        <f>SUM($F$9:G742)+0.1</f>
        <v>1500.1</v>
      </c>
      <c r="J743" s="9" t="s">
        <v>1748</v>
      </c>
    </row>
    <row r="744" spans="5:10" x14ac:dyDescent="0.35">
      <c r="E744" s="4">
        <f>SUM($F$9:G743)+0.1</f>
        <v>1500.1</v>
      </c>
      <c r="J744" s="9" t="s">
        <v>1749</v>
      </c>
    </row>
    <row r="745" spans="5:10" x14ac:dyDescent="0.35">
      <c r="E745" s="4">
        <f>SUM($F$9:G744)+0.1</f>
        <v>1500.1</v>
      </c>
      <c r="J745" s="9" t="s">
        <v>1750</v>
      </c>
    </row>
    <row r="746" spans="5:10" x14ac:dyDescent="0.35">
      <c r="E746" s="4">
        <f>SUM($F$9:G745)+0.1</f>
        <v>1500.1</v>
      </c>
      <c r="J746" s="9" t="s">
        <v>1751</v>
      </c>
    </row>
    <row r="747" spans="5:10" x14ac:dyDescent="0.35">
      <c r="E747" s="4">
        <f>SUM($F$9:G746)+0.1</f>
        <v>1500.1</v>
      </c>
      <c r="J747" s="9" t="s">
        <v>1752</v>
      </c>
    </row>
    <row r="748" spans="5:10" x14ac:dyDescent="0.35">
      <c r="E748" s="4">
        <f>SUM($F$9:G747)+0.1</f>
        <v>1500.1</v>
      </c>
      <c r="J748" s="9" t="s">
        <v>1753</v>
      </c>
    </row>
    <row r="749" spans="5:10" x14ac:dyDescent="0.35">
      <c r="E749" s="4">
        <f>SUM($F$9:G748)+0.1</f>
        <v>1500.1</v>
      </c>
      <c r="J749" s="9" t="s">
        <v>1754</v>
      </c>
    </row>
    <row r="750" spans="5:10" x14ac:dyDescent="0.35">
      <c r="E750" s="4">
        <f>SUM($F$9:G749)+0.1</f>
        <v>1500.1</v>
      </c>
      <c r="J750" s="9" t="s">
        <v>1755</v>
      </c>
    </row>
    <row r="751" spans="5:10" x14ac:dyDescent="0.35">
      <c r="E751" s="4">
        <f>SUM($F$9:G750)+0.1</f>
        <v>1500.1</v>
      </c>
      <c r="J751" s="9" t="s">
        <v>1756</v>
      </c>
    </row>
    <row r="752" spans="5:10" x14ac:dyDescent="0.35">
      <c r="E752" s="4">
        <f>SUM($F$9:G751)+0.1</f>
        <v>1500.1</v>
      </c>
      <c r="J752" s="9" t="s">
        <v>1757</v>
      </c>
    </row>
    <row r="753" spans="5:10" x14ac:dyDescent="0.35">
      <c r="E753" s="4">
        <f>SUM($F$9:G752)+0.1</f>
        <v>1500.1</v>
      </c>
      <c r="J753" s="9" t="s">
        <v>1758</v>
      </c>
    </row>
    <row r="754" spans="5:10" x14ac:dyDescent="0.35">
      <c r="E754" s="4">
        <f>SUM($F$9:G753)+0.1</f>
        <v>1500.1</v>
      </c>
      <c r="J754" s="9" t="s">
        <v>1759</v>
      </c>
    </row>
    <row r="755" spans="5:10" x14ac:dyDescent="0.35">
      <c r="E755" s="4">
        <f>SUM($F$9:G754)+0.1</f>
        <v>1500.1</v>
      </c>
      <c r="J755" s="9" t="s">
        <v>1760</v>
      </c>
    </row>
    <row r="756" spans="5:10" x14ac:dyDescent="0.35">
      <c r="E756" s="4">
        <f>SUM($F$9:G755)+0.1</f>
        <v>1500.1</v>
      </c>
      <c r="J756" s="9" t="s">
        <v>1761</v>
      </c>
    </row>
    <row r="757" spans="5:10" x14ac:dyDescent="0.35">
      <c r="E757" s="4">
        <f>SUM($F$9:G756)+0.1</f>
        <v>1500.1</v>
      </c>
      <c r="J757" s="9" t="s">
        <v>1762</v>
      </c>
    </row>
    <row r="758" spans="5:10" x14ac:dyDescent="0.35">
      <c r="E758" s="4">
        <f>SUM($F$9:G757)+0.1</f>
        <v>1500.1</v>
      </c>
      <c r="J758" s="9" t="s">
        <v>1763</v>
      </c>
    </row>
    <row r="759" spans="5:10" x14ac:dyDescent="0.35">
      <c r="E759" s="4">
        <f>SUM($F$9:G758)+0.1</f>
        <v>1500.1</v>
      </c>
      <c r="J759" s="9" t="s">
        <v>1764</v>
      </c>
    </row>
    <row r="760" spans="5:10" x14ac:dyDescent="0.35">
      <c r="E760" s="4">
        <f>SUM($F$9:G759)+0.1</f>
        <v>1500.1</v>
      </c>
      <c r="J760" s="9" t="s">
        <v>1765</v>
      </c>
    </row>
    <row r="761" spans="5:10" x14ac:dyDescent="0.35">
      <c r="E761" s="4">
        <f>SUM($F$9:G760)+0.1</f>
        <v>1500.1</v>
      </c>
      <c r="J761" s="9" t="s">
        <v>1766</v>
      </c>
    </row>
    <row r="762" spans="5:10" x14ac:dyDescent="0.35">
      <c r="E762" s="4">
        <f>SUM($F$9:G761)+0.1</f>
        <v>1500.1</v>
      </c>
      <c r="J762" s="9" t="s">
        <v>1767</v>
      </c>
    </row>
    <row r="763" spans="5:10" x14ac:dyDescent="0.35">
      <c r="E763" s="4">
        <f>SUM($F$9:G762)+0.1</f>
        <v>1500.1</v>
      </c>
      <c r="J763" s="9" t="s">
        <v>1768</v>
      </c>
    </row>
    <row r="764" spans="5:10" x14ac:dyDescent="0.35">
      <c r="E764" s="4">
        <f>SUM($F$9:G763)+0.1</f>
        <v>1500.1</v>
      </c>
      <c r="J764" s="9" t="s">
        <v>1769</v>
      </c>
    </row>
    <row r="765" spans="5:10" x14ac:dyDescent="0.35">
      <c r="E765" s="4">
        <f>SUM($F$9:G764)+0.1</f>
        <v>1500.1</v>
      </c>
      <c r="J765" s="9" t="s">
        <v>1770</v>
      </c>
    </row>
    <row r="766" spans="5:10" x14ac:dyDescent="0.35">
      <c r="E766" s="4">
        <f>SUM($F$9:G765)+0.1</f>
        <v>1500.1</v>
      </c>
      <c r="J766" s="9" t="s">
        <v>1771</v>
      </c>
    </row>
    <row r="767" spans="5:10" x14ac:dyDescent="0.35">
      <c r="E767" s="4">
        <f>SUM($F$9:G766)+0.1</f>
        <v>1500.1</v>
      </c>
      <c r="J767" s="9" t="s">
        <v>1772</v>
      </c>
    </row>
    <row r="768" spans="5:10" x14ac:dyDescent="0.35">
      <c r="E768" s="4">
        <f>SUM($F$9:G767)+0.1</f>
        <v>1500.1</v>
      </c>
      <c r="J768" s="9" t="s">
        <v>1773</v>
      </c>
    </row>
    <row r="769" spans="5:10" x14ac:dyDescent="0.35">
      <c r="E769" s="4">
        <f>SUM($F$9:G768)+0.1</f>
        <v>1500.1</v>
      </c>
      <c r="J769" s="9" t="s">
        <v>1774</v>
      </c>
    </row>
    <row r="770" spans="5:10" x14ac:dyDescent="0.35">
      <c r="E770" s="4">
        <f>SUM($F$9:G769)+0.1</f>
        <v>1500.1</v>
      </c>
      <c r="J770" s="9" t="s">
        <v>1775</v>
      </c>
    </row>
    <row r="771" spans="5:10" x14ac:dyDescent="0.35">
      <c r="E771" s="4">
        <f>SUM($F$9:G770)+0.1</f>
        <v>1500.1</v>
      </c>
      <c r="J771" s="9" t="s">
        <v>1776</v>
      </c>
    </row>
    <row r="772" spans="5:10" x14ac:dyDescent="0.35">
      <c r="E772" s="4">
        <f>SUM($F$9:G771)+0.1</f>
        <v>1500.1</v>
      </c>
      <c r="J772" s="9" t="s">
        <v>1777</v>
      </c>
    </row>
    <row r="773" spans="5:10" x14ac:dyDescent="0.35">
      <c r="E773" s="4">
        <f>SUM($F$9:G772)+0.1</f>
        <v>1500.1</v>
      </c>
      <c r="J773" s="9" t="s">
        <v>1778</v>
      </c>
    </row>
    <row r="774" spans="5:10" x14ac:dyDescent="0.35">
      <c r="E774" s="4">
        <f>SUM($F$9:G773)+0.1</f>
        <v>1500.1</v>
      </c>
      <c r="J774" s="9" t="s">
        <v>1779</v>
      </c>
    </row>
    <row r="775" spans="5:10" x14ac:dyDescent="0.35">
      <c r="E775" s="4">
        <f>SUM($F$9:G774)+0.1</f>
        <v>1500.1</v>
      </c>
      <c r="J775" s="9" t="s">
        <v>1780</v>
      </c>
    </row>
    <row r="776" spans="5:10" x14ac:dyDescent="0.35">
      <c r="E776" s="4">
        <f>SUM($F$9:G775)+0.1</f>
        <v>1500.1</v>
      </c>
      <c r="J776" s="9" t="s">
        <v>1781</v>
      </c>
    </row>
    <row r="777" spans="5:10" x14ac:dyDescent="0.35">
      <c r="E777" s="4">
        <f>SUM($F$9:G776)+0.1</f>
        <v>1500.1</v>
      </c>
      <c r="J777" s="9" t="s">
        <v>1782</v>
      </c>
    </row>
    <row r="778" spans="5:10" x14ac:dyDescent="0.35">
      <c r="E778" s="4">
        <f>SUM($F$9:G777)+0.1</f>
        <v>1500.1</v>
      </c>
      <c r="J778" s="9" t="s">
        <v>1783</v>
      </c>
    </row>
    <row r="779" spans="5:10" x14ac:dyDescent="0.35">
      <c r="E779" s="4">
        <f>SUM($F$9:G778)+0.1</f>
        <v>1500.1</v>
      </c>
      <c r="J779" s="9" t="s">
        <v>1784</v>
      </c>
    </row>
    <row r="780" spans="5:10" x14ac:dyDescent="0.35">
      <c r="E780" s="4">
        <f>SUM($F$9:G779)+0.1</f>
        <v>1500.1</v>
      </c>
      <c r="J780" s="9" t="s">
        <v>1785</v>
      </c>
    </row>
    <row r="781" spans="5:10" x14ac:dyDescent="0.35">
      <c r="E781" s="4">
        <f>SUM($F$9:G780)+0.1</f>
        <v>1500.1</v>
      </c>
      <c r="J781" s="9" t="s">
        <v>1786</v>
      </c>
    </row>
    <row r="782" spans="5:10" x14ac:dyDescent="0.35">
      <c r="E782" s="4">
        <f>SUM($F$9:G781)+0.1</f>
        <v>1500.1</v>
      </c>
      <c r="J782" s="9" t="s">
        <v>1787</v>
      </c>
    </row>
    <row r="783" spans="5:10" x14ac:dyDescent="0.35">
      <c r="E783" s="4">
        <f>SUM($F$9:G782)+0.1</f>
        <v>1500.1</v>
      </c>
      <c r="J783" s="11" t="s">
        <v>1788</v>
      </c>
    </row>
    <row r="784" spans="5:10" x14ac:dyDescent="0.35">
      <c r="E784" s="4">
        <f>SUM($F$9:G783)+0.1</f>
        <v>1500.1</v>
      </c>
      <c r="J784" s="11" t="s">
        <v>1789</v>
      </c>
    </row>
    <row r="785" spans="5:10" x14ac:dyDescent="0.35">
      <c r="E785" s="4">
        <f>SUM($F$9:G784)+0.1</f>
        <v>1500.1</v>
      </c>
      <c r="J785" s="11" t="s">
        <v>1790</v>
      </c>
    </row>
    <row r="786" spans="5:10" x14ac:dyDescent="0.35">
      <c r="E786" s="4">
        <f>SUM($F$9:G785)+0.1</f>
        <v>1500.1</v>
      </c>
      <c r="J786" s="11" t="s">
        <v>1791</v>
      </c>
    </row>
    <row r="787" spans="5:10" x14ac:dyDescent="0.35">
      <c r="E787" s="4">
        <f>SUM($F$9:G786)+0.1</f>
        <v>1500.1</v>
      </c>
      <c r="J787" s="11" t="s">
        <v>1792</v>
      </c>
    </row>
    <row r="788" spans="5:10" x14ac:dyDescent="0.35">
      <c r="E788" s="4">
        <f>SUM($F$9:G787)+0.1</f>
        <v>1500.1</v>
      </c>
      <c r="J788" s="11" t="s">
        <v>1793</v>
      </c>
    </row>
    <row r="789" spans="5:10" x14ac:dyDescent="0.35">
      <c r="E789" s="4">
        <f>SUM($F$9:G788)+0.1</f>
        <v>1500.1</v>
      </c>
      <c r="J789" s="11" t="s">
        <v>1794</v>
      </c>
    </row>
    <row r="790" spans="5:10" x14ac:dyDescent="0.35">
      <c r="E790" s="4">
        <f>SUM($F$9:G789)+0.1</f>
        <v>1500.1</v>
      </c>
      <c r="J790" s="11" t="s">
        <v>1795</v>
      </c>
    </row>
    <row r="791" spans="5:10" x14ac:dyDescent="0.35">
      <c r="E791" s="4">
        <f>SUM($F$9:G790)+0.1</f>
        <v>1500.1</v>
      </c>
      <c r="J791" s="11" t="s">
        <v>1796</v>
      </c>
    </row>
    <row r="792" spans="5:10" x14ac:dyDescent="0.35">
      <c r="E792" s="4">
        <f>SUM($F$9:G791)+0.1</f>
        <v>1500.1</v>
      </c>
      <c r="J792" s="11" t="s">
        <v>1797</v>
      </c>
    </row>
    <row r="793" spans="5:10" x14ac:dyDescent="0.35">
      <c r="E793" s="4">
        <f>SUM($F$9:G792)+0.1</f>
        <v>1500.1</v>
      </c>
      <c r="J793" s="11" t="s">
        <v>1798</v>
      </c>
    </row>
    <row r="794" spans="5:10" x14ac:dyDescent="0.35">
      <c r="E794" s="4">
        <f>SUM($F$9:G793)+0.1</f>
        <v>1500.1</v>
      </c>
      <c r="J794" s="11" t="s">
        <v>1799</v>
      </c>
    </row>
    <row r="795" spans="5:10" x14ac:dyDescent="0.35">
      <c r="E795" s="4">
        <f>SUM($F$9:G794)+0.1</f>
        <v>1500.1</v>
      </c>
      <c r="J795" s="11" t="s">
        <v>1800</v>
      </c>
    </row>
    <row r="796" spans="5:10" x14ac:dyDescent="0.35">
      <c r="E796" s="4">
        <f>SUM($F$9:G795)+0.1</f>
        <v>1500.1</v>
      </c>
      <c r="J796" s="10" t="s">
        <v>1801</v>
      </c>
    </row>
    <row r="797" spans="5:10" x14ac:dyDescent="0.35">
      <c r="E797" s="4">
        <f>SUM($F$9:G796)+0.1</f>
        <v>1500.1</v>
      </c>
      <c r="J797" s="10" t="s">
        <v>1802</v>
      </c>
    </row>
    <row r="798" spans="5:10" x14ac:dyDescent="0.35">
      <c r="E798" s="4">
        <f>SUM($F$9:G797)+0.1</f>
        <v>1500.1</v>
      </c>
      <c r="J798" s="10" t="s">
        <v>1803</v>
      </c>
    </row>
    <row r="799" spans="5:10" x14ac:dyDescent="0.35">
      <c r="E799" s="4">
        <f>SUM($F$9:G798)+0.1</f>
        <v>1500.1</v>
      </c>
      <c r="J799" s="10" t="s">
        <v>1804</v>
      </c>
    </row>
    <row r="800" spans="5:10" x14ac:dyDescent="0.35">
      <c r="E800" s="4">
        <f>SUM($F$9:G799)+0.1</f>
        <v>1500.1</v>
      </c>
      <c r="J800" s="10" t="s">
        <v>1805</v>
      </c>
    </row>
    <row r="801" spans="5:10" x14ac:dyDescent="0.35">
      <c r="E801" s="4">
        <f>SUM($F$9:G800)+0.1</f>
        <v>1500.1</v>
      </c>
      <c r="J801" s="10" t="s">
        <v>1806</v>
      </c>
    </row>
    <row r="802" spans="5:10" x14ac:dyDescent="0.35">
      <c r="E802" s="4">
        <f>SUM($F$9:G801)+0.1</f>
        <v>1500.1</v>
      </c>
      <c r="J802" s="10" t="s">
        <v>1807</v>
      </c>
    </row>
    <row r="803" spans="5:10" x14ac:dyDescent="0.35">
      <c r="E803" s="4">
        <f>SUM($F$9:G802)+0.1</f>
        <v>1500.1</v>
      </c>
      <c r="J803" s="10" t="s">
        <v>1808</v>
      </c>
    </row>
    <row r="804" spans="5:10" x14ac:dyDescent="0.35">
      <c r="E804" s="4">
        <f>SUM($F$9:G803)+0.1</f>
        <v>1500.1</v>
      </c>
      <c r="J804" s="10" t="s">
        <v>1809</v>
      </c>
    </row>
    <row r="805" spans="5:10" x14ac:dyDescent="0.35">
      <c r="E805" s="4">
        <f>SUM($F$9:G804)+0.1</f>
        <v>1500.1</v>
      </c>
      <c r="J805" s="10" t="s">
        <v>1810</v>
      </c>
    </row>
    <row r="806" spans="5:10" x14ac:dyDescent="0.35">
      <c r="E806" s="4">
        <f>SUM($F$9:G805)+0.1</f>
        <v>1500.1</v>
      </c>
      <c r="J806" s="10" t="s">
        <v>1811</v>
      </c>
    </row>
    <row r="807" spans="5:10" x14ac:dyDescent="0.35">
      <c r="E807" s="4">
        <f>SUM($F$9:G806)+0.1</f>
        <v>1500.1</v>
      </c>
      <c r="J807" s="10" t="s">
        <v>1812</v>
      </c>
    </row>
    <row r="808" spans="5:10" x14ac:dyDescent="0.35">
      <c r="E808" s="4">
        <f>SUM($F$9:G807)+0.1</f>
        <v>1500.1</v>
      </c>
      <c r="J808" s="10" t="s">
        <v>1813</v>
      </c>
    </row>
    <row r="809" spans="5:10" x14ac:dyDescent="0.35">
      <c r="E809" s="4">
        <f>SUM($F$9:G808)+0.1</f>
        <v>1500.1</v>
      </c>
      <c r="J809" s="10" t="s">
        <v>1814</v>
      </c>
    </row>
    <row r="810" spans="5:10" x14ac:dyDescent="0.35">
      <c r="E810" s="4">
        <f>SUM($F$9:G809)+0.1</f>
        <v>1500.1</v>
      </c>
      <c r="J810" s="10" t="s">
        <v>1815</v>
      </c>
    </row>
    <row r="811" spans="5:10" x14ac:dyDescent="0.35">
      <c r="E811" s="4">
        <f>SUM($F$9:G810)+0.1</f>
        <v>1500.1</v>
      </c>
      <c r="J811" s="10" t="s">
        <v>1816</v>
      </c>
    </row>
    <row r="812" spans="5:10" x14ac:dyDescent="0.35">
      <c r="E812" s="4">
        <f>SUM($F$9:G811)+0.1</f>
        <v>1500.1</v>
      </c>
      <c r="J812" s="10" t="s">
        <v>1817</v>
      </c>
    </row>
    <row r="813" spans="5:10" x14ac:dyDescent="0.35">
      <c r="E813" s="4">
        <f>SUM($F$9:G812)+0.1</f>
        <v>1500.1</v>
      </c>
      <c r="J813" s="10" t="s">
        <v>1818</v>
      </c>
    </row>
    <row r="814" spans="5:10" x14ac:dyDescent="0.35">
      <c r="E814" s="4">
        <f>SUM($F$9:G813)+0.1</f>
        <v>1500.1</v>
      </c>
      <c r="J814" s="10" t="s">
        <v>1819</v>
      </c>
    </row>
    <row r="815" spans="5:10" x14ac:dyDescent="0.35">
      <c r="E815" s="4">
        <f>SUM($F$9:G814)+0.1</f>
        <v>1500.1</v>
      </c>
      <c r="J815" s="10" t="s">
        <v>1820</v>
      </c>
    </row>
    <row r="816" spans="5:10" x14ac:dyDescent="0.35">
      <c r="E816" s="4">
        <f>SUM($F$9:G815)+0.1</f>
        <v>1500.1</v>
      </c>
      <c r="J816" s="10" t="s">
        <v>1821</v>
      </c>
    </row>
    <row r="817" spans="5:10" x14ac:dyDescent="0.35">
      <c r="E817" s="4">
        <f>SUM($F$9:G816)+0.1</f>
        <v>1500.1</v>
      </c>
      <c r="J817" s="10" t="s">
        <v>1822</v>
      </c>
    </row>
    <row r="818" spans="5:10" x14ac:dyDescent="0.35">
      <c r="E818" s="4">
        <f>SUM($F$9:G817)+0.1</f>
        <v>1500.1</v>
      </c>
      <c r="J818" s="10" t="s">
        <v>1823</v>
      </c>
    </row>
    <row r="819" spans="5:10" x14ac:dyDescent="0.35">
      <c r="E819" s="4">
        <f>SUM($F$9:G818)+0.1</f>
        <v>1500.1</v>
      </c>
      <c r="J819" s="10" t="s">
        <v>1824</v>
      </c>
    </row>
    <row r="820" spans="5:10" x14ac:dyDescent="0.35">
      <c r="E820" s="4">
        <f>SUM($F$9:G819)+0.1</f>
        <v>1500.1</v>
      </c>
      <c r="J820" s="10" t="s">
        <v>1825</v>
      </c>
    </row>
    <row r="821" spans="5:10" x14ac:dyDescent="0.35">
      <c r="E821" s="4">
        <f>SUM($F$9:G820)+0.1</f>
        <v>1500.1</v>
      </c>
      <c r="J821" s="10" t="s">
        <v>1826</v>
      </c>
    </row>
    <row r="822" spans="5:10" x14ac:dyDescent="0.35">
      <c r="E822" s="4">
        <f>SUM($F$9:G821)+0.1</f>
        <v>1500.1</v>
      </c>
    </row>
    <row r="823" spans="5:10" x14ac:dyDescent="0.35">
      <c r="E823" s="4">
        <f>SUM($F$9:G822)+0.1</f>
        <v>1500.1</v>
      </c>
    </row>
    <row r="824" spans="5:10" x14ac:dyDescent="0.35">
      <c r="E824" s="4">
        <f>SUM($F$9:G823)+0.1</f>
        <v>1500.1</v>
      </c>
    </row>
    <row r="825" spans="5:10" x14ac:dyDescent="0.35">
      <c r="E825" s="4">
        <f>SUM($F$9:G824)+0.1</f>
        <v>1500.1</v>
      </c>
    </row>
    <row r="826" spans="5:10" x14ac:dyDescent="0.35">
      <c r="E826" s="4">
        <f>SUM($F$9:G825)+0.1</f>
        <v>1500.1</v>
      </c>
    </row>
    <row r="827" spans="5:10" x14ac:dyDescent="0.35">
      <c r="E827" s="4">
        <f>SUM($F$9:G826)+0.1</f>
        <v>1500.1</v>
      </c>
    </row>
    <row r="828" spans="5:10" x14ac:dyDescent="0.35">
      <c r="E828" s="4">
        <f>SUM($F$9:G827)+0.1</f>
        <v>1500.1</v>
      </c>
    </row>
    <row r="829" spans="5:10" x14ac:dyDescent="0.35">
      <c r="E829" s="4">
        <f>SUM($F$9:G828)+0.1</f>
        <v>1500.1</v>
      </c>
    </row>
    <row r="830" spans="5:10" x14ac:dyDescent="0.35">
      <c r="E830" s="4">
        <f>SUM($F$9:G829)+0.1</f>
        <v>1500.1</v>
      </c>
    </row>
    <row r="831" spans="5:10" x14ac:dyDescent="0.35">
      <c r="E831" s="4">
        <f>SUM($F$9:G830)+0.1</f>
        <v>1500.1</v>
      </c>
    </row>
    <row r="832" spans="5:10" x14ac:dyDescent="0.35">
      <c r="E832" s="4">
        <f>SUM($F$9:G831)+0.1</f>
        <v>1500.1</v>
      </c>
    </row>
    <row r="833" spans="5:5" x14ac:dyDescent="0.35">
      <c r="E833" s="4">
        <f>SUM($F$9:G832)+0.1</f>
        <v>1500.1</v>
      </c>
    </row>
    <row r="834" spans="5:5" x14ac:dyDescent="0.35">
      <c r="E834" s="4">
        <f>SUM($F$9:G833)+0.1</f>
        <v>1500.1</v>
      </c>
    </row>
    <row r="835" spans="5:5" x14ac:dyDescent="0.35">
      <c r="E835" s="4">
        <f>SUM($F$9:G834)+0.1</f>
        <v>1500.1</v>
      </c>
    </row>
    <row r="836" spans="5:5" x14ac:dyDescent="0.35">
      <c r="E836" s="4">
        <f>SUM($F$9:G835)+0.1</f>
        <v>1500.1</v>
      </c>
    </row>
    <row r="837" spans="5:5" x14ac:dyDescent="0.35">
      <c r="E837" s="4">
        <f>SUM($F$9:G836)+0.1</f>
        <v>1500.1</v>
      </c>
    </row>
    <row r="838" spans="5:5" x14ac:dyDescent="0.35">
      <c r="E838" s="4">
        <f>SUM($F$9:G837)+0.1</f>
        <v>1500.1</v>
      </c>
    </row>
    <row r="839" spans="5:5" x14ac:dyDescent="0.35">
      <c r="E839" s="4">
        <f>SUM($F$9:G838)+0.1</f>
        <v>1500.1</v>
      </c>
    </row>
    <row r="840" spans="5:5" x14ac:dyDescent="0.35">
      <c r="E840" s="4">
        <f>SUM($F$9:G839)+0.1</f>
        <v>1500.1</v>
      </c>
    </row>
    <row r="841" spans="5:5" x14ac:dyDescent="0.35">
      <c r="E841" s="4">
        <f>SUM($F$9:G840)+0.1</f>
        <v>1500.1</v>
      </c>
    </row>
    <row r="842" spans="5:5" x14ac:dyDescent="0.35">
      <c r="E842" s="4">
        <f>SUM($F$9:G841)+0.1</f>
        <v>1500.1</v>
      </c>
    </row>
    <row r="843" spans="5:5" x14ac:dyDescent="0.35">
      <c r="E843" s="4">
        <f>SUM($F$9:G842)+0.1</f>
        <v>1500.1</v>
      </c>
    </row>
    <row r="844" spans="5:5" x14ac:dyDescent="0.35">
      <c r="E844" s="4">
        <f>SUM($F$9:G843)+0.1</f>
        <v>1500.1</v>
      </c>
    </row>
    <row r="845" spans="5:5" x14ac:dyDescent="0.35">
      <c r="E845" s="4">
        <f>SUM($F$9:G844)+0.1</f>
        <v>1500.1</v>
      </c>
    </row>
    <row r="846" spans="5:5" x14ac:dyDescent="0.35">
      <c r="E846" s="4">
        <f>SUM($F$9:G845)+0.1</f>
        <v>1500.1</v>
      </c>
    </row>
    <row r="847" spans="5:5" x14ac:dyDescent="0.35">
      <c r="E847" s="4">
        <f>SUM($F$9:G846)+0.1</f>
        <v>1500.1</v>
      </c>
    </row>
    <row r="848" spans="5:5" x14ac:dyDescent="0.35">
      <c r="E848" s="4">
        <f>SUM($F$9:G847)+0.1</f>
        <v>1500.1</v>
      </c>
    </row>
    <row r="849" spans="5:5" x14ac:dyDescent="0.35">
      <c r="E849" s="4">
        <f>SUM($F$9:G848)+0.1</f>
        <v>1500.1</v>
      </c>
    </row>
    <row r="850" spans="5:5" x14ac:dyDescent="0.35">
      <c r="E850" s="4">
        <f>SUM($F$9:G849)+0.1</f>
        <v>1500.1</v>
      </c>
    </row>
    <row r="851" spans="5:5" x14ac:dyDescent="0.35">
      <c r="E851" s="4">
        <f>SUM($F$9:G850)+0.1</f>
        <v>1500.1</v>
      </c>
    </row>
    <row r="852" spans="5:5" x14ac:dyDescent="0.35">
      <c r="E852" s="4">
        <f>SUM($F$9:G851)+0.1</f>
        <v>1500.1</v>
      </c>
    </row>
    <row r="853" spans="5:5" x14ac:dyDescent="0.35">
      <c r="E853" s="4">
        <f>SUM($F$9:G852)+0.1</f>
        <v>1500.1</v>
      </c>
    </row>
    <row r="854" spans="5:5" x14ac:dyDescent="0.35">
      <c r="E854" s="4">
        <f>SUM($F$9:G853)+0.1</f>
        <v>1500.1</v>
      </c>
    </row>
    <row r="855" spans="5:5" x14ac:dyDescent="0.35">
      <c r="E855" s="4">
        <f>SUM($F$9:G854)+0.1</f>
        <v>1500.1</v>
      </c>
    </row>
    <row r="856" spans="5:5" x14ac:dyDescent="0.35">
      <c r="E856" s="4">
        <f>SUM($F$9:G855)+0.1</f>
        <v>1500.1</v>
      </c>
    </row>
    <row r="857" spans="5:5" x14ac:dyDescent="0.35">
      <c r="E857" s="4">
        <f>SUM($F$9:G856)+0.1</f>
        <v>1500.1</v>
      </c>
    </row>
    <row r="858" spans="5:5" x14ac:dyDescent="0.35">
      <c r="E858" s="4">
        <f>SUM($F$9:G857)+0.1</f>
        <v>1500.1</v>
      </c>
    </row>
    <row r="859" spans="5:5" x14ac:dyDescent="0.35">
      <c r="E859" s="4">
        <f>SUM($F$9:G858)+0.1</f>
        <v>1500.1</v>
      </c>
    </row>
    <row r="860" spans="5:5" x14ac:dyDescent="0.35">
      <c r="E860" s="4">
        <f>SUM($F$9:G859)+0.1</f>
        <v>1500.1</v>
      </c>
    </row>
    <row r="861" spans="5:5" x14ac:dyDescent="0.35">
      <c r="E861" s="4">
        <f>SUM($F$9:G860)+0.1</f>
        <v>1500.1</v>
      </c>
    </row>
    <row r="862" spans="5:5" x14ac:dyDescent="0.35">
      <c r="E862" s="4">
        <f>SUM($F$9:G861)+0.1</f>
        <v>1500.1</v>
      </c>
    </row>
    <row r="863" spans="5:5" x14ac:dyDescent="0.35">
      <c r="E863" s="4">
        <f>SUM($F$9:G862)+0.1</f>
        <v>1500.1</v>
      </c>
    </row>
    <row r="864" spans="5:5" x14ac:dyDescent="0.35">
      <c r="E864" s="4">
        <f>SUM($F$9:G863)+0.1</f>
        <v>1500.1</v>
      </c>
    </row>
    <row r="865" spans="5:5" x14ac:dyDescent="0.35">
      <c r="E865" s="4">
        <f>SUM($F$9:G864)+0.1</f>
        <v>1500.1</v>
      </c>
    </row>
    <row r="866" spans="5:5" x14ac:dyDescent="0.35">
      <c r="E866" s="4">
        <f>SUM($F$9:G865)+0.1</f>
        <v>1500.1</v>
      </c>
    </row>
    <row r="867" spans="5:5" x14ac:dyDescent="0.35">
      <c r="E867" s="4">
        <f>SUM($F$9:G866)+0.1</f>
        <v>1500.1</v>
      </c>
    </row>
    <row r="868" spans="5:5" x14ac:dyDescent="0.35">
      <c r="E868" s="4">
        <f>SUM($F$9:G867)+0.1</f>
        <v>1500.1</v>
      </c>
    </row>
    <row r="869" spans="5:5" x14ac:dyDescent="0.35">
      <c r="E869" s="4">
        <f>SUM($F$9:G868)+0.1</f>
        <v>1500.1</v>
      </c>
    </row>
    <row r="870" spans="5:5" x14ac:dyDescent="0.35">
      <c r="E870" s="4">
        <f>SUM($F$9:G869)+0.1</f>
        <v>1500.1</v>
      </c>
    </row>
    <row r="871" spans="5:5" x14ac:dyDescent="0.35">
      <c r="E871" s="4">
        <f>SUM($F$9:G870)+0.1</f>
        <v>1500.1</v>
      </c>
    </row>
    <row r="872" spans="5:5" x14ac:dyDescent="0.35">
      <c r="E872" s="4">
        <f>SUM($F$9:G871)+0.1</f>
        <v>1500.1</v>
      </c>
    </row>
    <row r="873" spans="5:5" x14ac:dyDescent="0.35">
      <c r="E873" s="4">
        <f>SUM($F$9:G872)+0.1</f>
        <v>1500.1</v>
      </c>
    </row>
    <row r="874" spans="5:5" x14ac:dyDescent="0.35">
      <c r="E874" s="4">
        <f>SUM($F$9:G873)+0.1</f>
        <v>1500.1</v>
      </c>
    </row>
    <row r="875" spans="5:5" x14ac:dyDescent="0.35">
      <c r="E875" s="4">
        <f>SUM($F$9:G874)+0.1</f>
        <v>1500.1</v>
      </c>
    </row>
    <row r="876" spans="5:5" x14ac:dyDescent="0.35">
      <c r="E876" s="4">
        <f>SUM($F$9:G875)+0.1</f>
        <v>1500.1</v>
      </c>
    </row>
    <row r="877" spans="5:5" x14ac:dyDescent="0.35">
      <c r="E877" s="4">
        <f>SUM($F$9:G876)+0.1</f>
        <v>1500.1</v>
      </c>
    </row>
    <row r="878" spans="5:5" x14ac:dyDescent="0.35">
      <c r="E878" s="4">
        <f>SUM($F$9:G877)+0.1</f>
        <v>1500.1</v>
      </c>
    </row>
    <row r="879" spans="5:5" x14ac:dyDescent="0.35">
      <c r="E879" s="4">
        <f>SUM($F$9:G878)+0.1</f>
        <v>1500.1</v>
      </c>
    </row>
    <row r="880" spans="5:5" x14ac:dyDescent="0.35">
      <c r="E880" s="4">
        <f>SUM($F$9:G879)+0.1</f>
        <v>1500.1</v>
      </c>
    </row>
    <row r="881" spans="5:5" x14ac:dyDescent="0.35">
      <c r="E881" s="4">
        <f>SUM($F$9:G880)+0.1</f>
        <v>1500.1</v>
      </c>
    </row>
    <row r="882" spans="5:5" x14ac:dyDescent="0.35">
      <c r="E882" s="4">
        <f>SUM($F$9:G881)+0.1</f>
        <v>1500.1</v>
      </c>
    </row>
    <row r="883" spans="5:5" x14ac:dyDescent="0.35">
      <c r="E883" s="4">
        <f>SUM($F$9:G882)+0.1</f>
        <v>1500.1</v>
      </c>
    </row>
    <row r="884" spans="5:5" x14ac:dyDescent="0.35">
      <c r="E884" s="4">
        <f>SUM($F$9:G883)+0.1</f>
        <v>1500.1</v>
      </c>
    </row>
    <row r="885" spans="5:5" x14ac:dyDescent="0.35">
      <c r="E885" s="4">
        <f>SUM($F$9:G884)+0.1</f>
        <v>1500.1</v>
      </c>
    </row>
    <row r="886" spans="5:5" x14ac:dyDescent="0.35">
      <c r="E886" s="4">
        <f>SUM($F$9:G885)+0.1</f>
        <v>1500.1</v>
      </c>
    </row>
    <row r="887" spans="5:5" x14ac:dyDescent="0.35">
      <c r="E887" s="4">
        <f>SUM($F$9:G886)+0.1</f>
        <v>1500.1</v>
      </c>
    </row>
    <row r="888" spans="5:5" x14ac:dyDescent="0.35">
      <c r="E888" s="4">
        <f>SUM($F$9:G887)+0.1</f>
        <v>1500.1</v>
      </c>
    </row>
    <row r="889" spans="5:5" x14ac:dyDescent="0.35">
      <c r="E889" s="4">
        <f>SUM($F$9:G888)+0.1</f>
        <v>1500.1</v>
      </c>
    </row>
    <row r="890" spans="5:5" x14ac:dyDescent="0.35">
      <c r="E890" s="4">
        <f>SUM($F$9:G889)+0.1</f>
        <v>1500.1</v>
      </c>
    </row>
    <row r="891" spans="5:5" x14ac:dyDescent="0.35">
      <c r="E891" s="4">
        <f>SUM($F$9:G890)+0.1</f>
        <v>1500.1</v>
      </c>
    </row>
    <row r="892" spans="5:5" x14ac:dyDescent="0.35">
      <c r="E892" s="4">
        <f>SUM($F$9:G891)+0.1</f>
        <v>1500.1</v>
      </c>
    </row>
    <row r="893" spans="5:5" x14ac:dyDescent="0.35">
      <c r="E893" s="4">
        <f>SUM($F$9:G892)+0.1</f>
        <v>1500.1</v>
      </c>
    </row>
    <row r="894" spans="5:5" x14ac:dyDescent="0.35">
      <c r="E894" s="4">
        <f>SUM($F$9:G893)+0.1</f>
        <v>1500.1</v>
      </c>
    </row>
    <row r="895" spans="5:5" x14ac:dyDescent="0.35">
      <c r="E895" s="4">
        <f>SUM($F$9:G894)+0.1</f>
        <v>1500.1</v>
      </c>
    </row>
    <row r="896" spans="5:5" x14ac:dyDescent="0.35">
      <c r="E896" s="4">
        <f>SUM($F$9:G895)+0.1</f>
        <v>1500.1</v>
      </c>
    </row>
    <row r="897" spans="5:5" x14ac:dyDescent="0.35">
      <c r="E897" s="4">
        <f>SUM($F$9:G896)+0.1</f>
        <v>1500.1</v>
      </c>
    </row>
    <row r="898" spans="5:5" x14ac:dyDescent="0.35">
      <c r="E898" s="4">
        <f>SUM($F$9:G897)+0.1</f>
        <v>1500.1</v>
      </c>
    </row>
    <row r="899" spans="5:5" x14ac:dyDescent="0.35">
      <c r="E899" s="4">
        <f>SUM($F$9:G898)+0.1</f>
        <v>1500.1</v>
      </c>
    </row>
    <row r="900" spans="5:5" x14ac:dyDescent="0.35">
      <c r="E900" s="4">
        <f>SUM($F$9:G899)+0.1</f>
        <v>1500.1</v>
      </c>
    </row>
    <row r="901" spans="5:5" x14ac:dyDescent="0.35">
      <c r="E901" s="4">
        <f>SUM($F$9:G900)+0.1</f>
        <v>1500.1</v>
      </c>
    </row>
    <row r="902" spans="5:5" x14ac:dyDescent="0.35">
      <c r="E902" s="4">
        <f>SUM($F$9:G901)+0.1</f>
        <v>1500.1</v>
      </c>
    </row>
    <row r="903" spans="5:5" x14ac:dyDescent="0.35">
      <c r="E903" s="4">
        <f>SUM($F$9:G902)+0.1</f>
        <v>1500.1</v>
      </c>
    </row>
    <row r="904" spans="5:5" x14ac:dyDescent="0.35">
      <c r="E904" s="4">
        <f>SUM($F$9:G903)+0.1</f>
        <v>1500.1</v>
      </c>
    </row>
    <row r="905" spans="5:5" x14ac:dyDescent="0.35">
      <c r="E905" s="4">
        <f>SUM($F$9:G904)+0.1</f>
        <v>1500.1</v>
      </c>
    </row>
    <row r="906" spans="5:5" x14ac:dyDescent="0.35">
      <c r="E906" s="4">
        <f>SUM($F$9:G905)+0.1</f>
        <v>1500.1</v>
      </c>
    </row>
    <row r="907" spans="5:5" x14ac:dyDescent="0.35">
      <c r="E907" s="4">
        <f>SUM($F$9:G906)+0.1</f>
        <v>1500.1</v>
      </c>
    </row>
    <row r="908" spans="5:5" x14ac:dyDescent="0.35">
      <c r="E908" s="4">
        <f>SUM($F$9:G907)+0.1</f>
        <v>1500.1</v>
      </c>
    </row>
    <row r="909" spans="5:5" x14ac:dyDescent="0.35">
      <c r="E909" s="4">
        <f>SUM($F$9:G908)+0.1</f>
        <v>1500.1</v>
      </c>
    </row>
    <row r="910" spans="5:5" x14ac:dyDescent="0.35">
      <c r="E910" s="4">
        <f>SUM($F$9:G909)+0.1</f>
        <v>1500.1</v>
      </c>
    </row>
    <row r="911" spans="5:5" x14ac:dyDescent="0.35">
      <c r="E911" s="4">
        <f>SUM($F$9:G910)+0.1</f>
        <v>1500.1</v>
      </c>
    </row>
    <row r="912" spans="5:5" x14ac:dyDescent="0.35">
      <c r="E912" s="4">
        <f>SUM($F$9:G911)+0.1</f>
        <v>1500.1</v>
      </c>
    </row>
    <row r="913" spans="1:5" x14ac:dyDescent="0.35">
      <c r="E913" s="4">
        <f>SUM($F$9:G912)+0.1</f>
        <v>1500.1</v>
      </c>
    </row>
    <row r="914" spans="1:5" x14ac:dyDescent="0.35">
      <c r="E914" s="4">
        <f>SUM($F$9:G913)+0.1</f>
        <v>1500.1</v>
      </c>
    </row>
    <row r="915" spans="1:5" x14ac:dyDescent="0.35">
      <c r="E915" s="4">
        <f>SUM($F$9:G914)+0.1</f>
        <v>1500.1</v>
      </c>
    </row>
    <row r="916" spans="1:5" x14ac:dyDescent="0.35">
      <c r="E916" s="4">
        <f>SUM($F$9:G915)+0.1</f>
        <v>1500.1</v>
      </c>
    </row>
    <row r="917" spans="1:5" x14ac:dyDescent="0.35">
      <c r="E917" s="4">
        <f>SUM($F$9:G916)+0.1</f>
        <v>1500.1</v>
      </c>
    </row>
    <row r="918" spans="1:5" x14ac:dyDescent="0.35">
      <c r="E918" s="4">
        <f>SUM($F$9:G917)+0.1</f>
        <v>1500.1</v>
      </c>
    </row>
    <row r="919" spans="1:5" x14ac:dyDescent="0.35">
      <c r="E919" s="4">
        <f>SUM($F$9:G918)+0.1</f>
        <v>1500.1</v>
      </c>
    </row>
    <row r="920" spans="1:5" x14ac:dyDescent="0.35">
      <c r="A920"/>
    </row>
    <row r="921" spans="1:5" x14ac:dyDescent="0.35">
      <c r="A921"/>
    </row>
    <row r="922" spans="1:5" x14ac:dyDescent="0.35">
      <c r="A922"/>
    </row>
    <row r="923" spans="1:5" x14ac:dyDescent="0.35">
      <c r="A923"/>
    </row>
    <row r="924" spans="1:5" x14ac:dyDescent="0.35">
      <c r="A924"/>
    </row>
    <row r="925" spans="1:5" x14ac:dyDescent="0.35">
      <c r="A925"/>
    </row>
    <row r="926" spans="1:5" x14ac:dyDescent="0.35">
      <c r="A926"/>
    </row>
  </sheetData>
  <conditionalFormatting sqref="A731">
    <cfRule type="duplicateValues" dxfId="1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Refresh">
                <anchor moveWithCells="1">
                  <from>
                    <xdr:col>3</xdr:col>
                    <xdr:colOff>133350</xdr:colOff>
                    <xdr:row>0</xdr:row>
                    <xdr:rowOff>152400</xdr:rowOff>
                  </from>
                  <to>
                    <xdr:col>3</xdr:col>
                    <xdr:colOff>679450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8BE2-BA33-4517-AB24-F41477EA851B}">
  <sheetPr codeName="Sheet7"/>
  <dimension ref="A1:G925"/>
  <sheetViews>
    <sheetView workbookViewId="0">
      <selection activeCell="G81" sqref="G81"/>
    </sheetView>
  </sheetViews>
  <sheetFormatPr defaultRowHeight="14.5" x14ac:dyDescent="0.35"/>
  <cols>
    <col min="1" max="1" width="66.1796875" style="1" bestFit="1" customWidth="1"/>
    <col min="4" max="4" width="11.54296875" customWidth="1"/>
  </cols>
  <sheetData>
    <row r="1" spans="1:7" x14ac:dyDescent="0.35">
      <c r="A1" s="1" t="s">
        <v>923</v>
      </c>
      <c r="B1">
        <f>SUM(Table134[[Column2]:[Column3]])</f>
        <v>1800</v>
      </c>
    </row>
    <row r="2" spans="1:7" x14ac:dyDescent="0.35">
      <c r="A2" s="1" t="s">
        <v>924</v>
      </c>
      <c r="B2">
        <f ca="1">RANDBETWEEN(1,B1)</f>
        <v>514</v>
      </c>
    </row>
    <row r="3" spans="1:7" x14ac:dyDescent="0.35">
      <c r="A3" s="1" t="s">
        <v>925</v>
      </c>
      <c r="B3">
        <f ca="1">MATCH(B2,Table134[Total],1)</f>
        <v>45</v>
      </c>
    </row>
    <row r="6" spans="1:7" x14ac:dyDescent="0.35">
      <c r="A6" s="1" t="s">
        <v>926</v>
      </c>
      <c r="B6" s="5" t="str">
        <f>IF(F8=G8,INDEX(Table134[Show],B3),"cheater")</f>
        <v>cheater</v>
      </c>
    </row>
    <row r="8" spans="1:7" x14ac:dyDescent="0.35">
      <c r="F8">
        <f>SUM(Table134[Column2])</f>
        <v>1000</v>
      </c>
      <c r="G8">
        <f>SUM(Table134[Column3])</f>
        <v>800</v>
      </c>
    </row>
    <row r="9" spans="1:7" x14ac:dyDescent="0.35">
      <c r="A9" s="1" t="s">
        <v>897</v>
      </c>
      <c r="B9" t="s">
        <v>898</v>
      </c>
      <c r="C9" t="s">
        <v>901</v>
      </c>
      <c r="D9" t="s">
        <v>899</v>
      </c>
      <c r="E9" t="s">
        <v>922</v>
      </c>
      <c r="F9" t="s">
        <v>920</v>
      </c>
      <c r="G9" t="s">
        <v>921</v>
      </c>
    </row>
    <row r="10" spans="1:7" x14ac:dyDescent="0.35">
      <c r="A10" s="1" t="s">
        <v>1894</v>
      </c>
      <c r="E10" s="4">
        <f>SUM($F$9:G9)+0.1</f>
        <v>0.1</v>
      </c>
      <c r="F10" s="4"/>
    </row>
    <row r="11" spans="1:7" x14ac:dyDescent="0.35">
      <c r="A11" s="1" t="s">
        <v>1</v>
      </c>
      <c r="B11">
        <v>30</v>
      </c>
      <c r="E11" s="4">
        <f>SUM($F$9:G10)+0.1</f>
        <v>0.1</v>
      </c>
      <c r="F11" s="4">
        <v>25</v>
      </c>
    </row>
    <row r="12" spans="1:7" x14ac:dyDescent="0.35">
      <c r="A12" s="1" t="s">
        <v>662</v>
      </c>
      <c r="B12">
        <v>30</v>
      </c>
      <c r="C12" t="s">
        <v>903</v>
      </c>
      <c r="E12" s="4">
        <f>SUM($F$9:G11)+0.1</f>
        <v>25.1</v>
      </c>
      <c r="F12" s="4"/>
    </row>
    <row r="13" spans="1:7" x14ac:dyDescent="0.35">
      <c r="A13" s="1" t="s">
        <v>221</v>
      </c>
      <c r="B13">
        <v>30</v>
      </c>
      <c r="C13" t="s">
        <v>903</v>
      </c>
      <c r="E13" s="4">
        <f>SUM($F$9:G12)+0.1</f>
        <v>25.1</v>
      </c>
      <c r="F13" s="4"/>
    </row>
    <row r="14" spans="1:7" x14ac:dyDescent="0.35">
      <c r="A14" s="1" t="s">
        <v>222</v>
      </c>
      <c r="B14">
        <v>30</v>
      </c>
      <c r="E14" s="4">
        <f>SUM($F$9:G13)+0.1</f>
        <v>25.1</v>
      </c>
      <c r="F14" s="4"/>
    </row>
    <row r="15" spans="1:7" x14ac:dyDescent="0.35">
      <c r="A15" s="1" t="s">
        <v>830</v>
      </c>
      <c r="B15">
        <v>30</v>
      </c>
      <c r="E15" s="4">
        <f>SUM($F$9:G14)+0.1</f>
        <v>25.1</v>
      </c>
      <c r="F15" s="4"/>
    </row>
    <row r="16" spans="1:7" x14ac:dyDescent="0.35">
      <c r="A16" s="1" t="s">
        <v>226</v>
      </c>
      <c r="B16">
        <v>30</v>
      </c>
      <c r="E16" s="4">
        <f>SUM($F$9:G15)+0.1</f>
        <v>25.1</v>
      </c>
      <c r="F16" s="4"/>
    </row>
    <row r="17" spans="1:7" x14ac:dyDescent="0.35">
      <c r="A17" s="1" t="s">
        <v>586</v>
      </c>
      <c r="B17">
        <v>30</v>
      </c>
      <c r="C17" t="s">
        <v>900</v>
      </c>
      <c r="E17" s="4">
        <f>SUM($F$9:G16)+0.1</f>
        <v>25.1</v>
      </c>
      <c r="F17" s="4"/>
    </row>
    <row r="18" spans="1:7" x14ac:dyDescent="0.35">
      <c r="A18" s="1" t="s">
        <v>9</v>
      </c>
      <c r="B18">
        <v>30</v>
      </c>
      <c r="E18" s="4">
        <f>SUM($F$9:G17)+0.1</f>
        <v>25.1</v>
      </c>
      <c r="F18" s="4"/>
    </row>
    <row r="19" spans="1:7" x14ac:dyDescent="0.35">
      <c r="A19" s="1" t="s">
        <v>10</v>
      </c>
      <c r="B19">
        <v>30</v>
      </c>
      <c r="E19" s="4">
        <f>SUM($F$9:G18)+0.1</f>
        <v>25.1</v>
      </c>
      <c r="F19" s="4"/>
    </row>
    <row r="20" spans="1:7" x14ac:dyDescent="0.35">
      <c r="A20" s="1" t="s">
        <v>588</v>
      </c>
      <c r="B20">
        <v>30</v>
      </c>
      <c r="E20" s="4">
        <f>SUM($F$9:G19)+0.1</f>
        <v>25.1</v>
      </c>
      <c r="F20" s="4"/>
    </row>
    <row r="21" spans="1:7" x14ac:dyDescent="0.35">
      <c r="A21" s="1" t="s">
        <v>12</v>
      </c>
      <c r="B21">
        <v>30</v>
      </c>
      <c r="E21" s="4">
        <f>SUM($F$9:G20)+0.1</f>
        <v>25.1</v>
      </c>
      <c r="F21" s="4"/>
    </row>
    <row r="22" spans="1:7" x14ac:dyDescent="0.35">
      <c r="A22" s="1" t="s">
        <v>467</v>
      </c>
      <c r="B22">
        <v>30</v>
      </c>
      <c r="E22" s="4">
        <f>SUM($F$9:G21)+0.1</f>
        <v>25.1</v>
      </c>
      <c r="F22" s="4">
        <v>30</v>
      </c>
      <c r="G22">
        <v>200</v>
      </c>
    </row>
    <row r="23" spans="1:7" x14ac:dyDescent="0.35">
      <c r="A23" s="1" t="s">
        <v>230</v>
      </c>
      <c r="B23">
        <v>30</v>
      </c>
      <c r="E23" s="4">
        <f>SUM($F$9:G22)+0.1</f>
        <v>255.1</v>
      </c>
      <c r="F23" s="4"/>
    </row>
    <row r="24" spans="1:7" x14ac:dyDescent="0.35">
      <c r="A24" s="1" t="s">
        <v>1939</v>
      </c>
      <c r="E24" s="4">
        <f>SUM($F$9:G23)+0.1</f>
        <v>255.1</v>
      </c>
      <c r="F24" s="4"/>
    </row>
    <row r="25" spans="1:7" x14ac:dyDescent="0.35">
      <c r="A25" s="1" t="s">
        <v>231</v>
      </c>
      <c r="B25">
        <v>30</v>
      </c>
      <c r="C25" t="s">
        <v>903</v>
      </c>
      <c r="E25" s="4">
        <f>SUM($F$9:G24)+0.1</f>
        <v>255.1</v>
      </c>
      <c r="F25" s="4"/>
    </row>
    <row r="26" spans="1:7" x14ac:dyDescent="0.35">
      <c r="A26" s="1" t="s">
        <v>791</v>
      </c>
      <c r="B26">
        <v>30</v>
      </c>
      <c r="E26" s="4">
        <f>SUM($F$9:G25)+0.1</f>
        <v>255.1</v>
      </c>
      <c r="F26" s="4"/>
    </row>
    <row r="27" spans="1:7" x14ac:dyDescent="0.35">
      <c r="A27" s="1" t="s">
        <v>468</v>
      </c>
      <c r="B27">
        <v>30</v>
      </c>
      <c r="E27" s="4">
        <f>SUM($F$9:G26)+0.1</f>
        <v>255.1</v>
      </c>
      <c r="F27" s="4"/>
    </row>
    <row r="28" spans="1:7" x14ac:dyDescent="0.35">
      <c r="A28" s="12" t="s">
        <v>198</v>
      </c>
      <c r="B28">
        <v>30</v>
      </c>
      <c r="C28" t="s">
        <v>901</v>
      </c>
      <c r="E28" s="4">
        <f>SUM($F$9:G27)+0.1</f>
        <v>255.1</v>
      </c>
      <c r="F28" s="4"/>
    </row>
    <row r="29" spans="1:7" x14ac:dyDescent="0.35">
      <c r="A29" s="1" t="s">
        <v>728</v>
      </c>
      <c r="B29">
        <v>30</v>
      </c>
      <c r="C29">
        <v>1</v>
      </c>
      <c r="E29" s="4">
        <f>SUM($F$9:G28)+0.1</f>
        <v>255.1</v>
      </c>
      <c r="F29" s="4"/>
    </row>
    <row r="30" spans="1:7" x14ac:dyDescent="0.35">
      <c r="A30" s="1" t="s">
        <v>1926</v>
      </c>
      <c r="E30" s="4">
        <f>SUM($F$9:G29)+0.1</f>
        <v>255.1</v>
      </c>
      <c r="F30" s="4">
        <v>5</v>
      </c>
    </row>
    <row r="31" spans="1:7" x14ac:dyDescent="0.35">
      <c r="A31" s="1" t="s">
        <v>233</v>
      </c>
      <c r="B31">
        <v>30</v>
      </c>
      <c r="E31" s="4">
        <f>SUM($F$9:G30)+0.1</f>
        <v>260.10000000000002</v>
      </c>
      <c r="F31" s="4"/>
    </row>
    <row r="32" spans="1:7" x14ac:dyDescent="0.35">
      <c r="A32" s="1" t="s">
        <v>842</v>
      </c>
      <c r="B32">
        <v>30</v>
      </c>
      <c r="C32" t="s">
        <v>903</v>
      </c>
      <c r="E32" s="4">
        <f>SUM($F$9:G31)+0.1</f>
        <v>260.10000000000002</v>
      </c>
      <c r="F32" s="4"/>
    </row>
    <row r="33" spans="1:6" x14ac:dyDescent="0.35">
      <c r="A33" s="1" t="s">
        <v>843</v>
      </c>
      <c r="B33">
        <v>30</v>
      </c>
      <c r="E33" s="4">
        <f>SUM($F$9:G32)+0.1</f>
        <v>260.10000000000002</v>
      </c>
      <c r="F33" s="4"/>
    </row>
    <row r="34" spans="1:6" x14ac:dyDescent="0.35">
      <c r="A34" s="1" t="s">
        <v>469</v>
      </c>
      <c r="B34">
        <v>30</v>
      </c>
      <c r="E34" s="4">
        <f>SUM($F$9:G33)+0.1</f>
        <v>260.10000000000002</v>
      </c>
      <c r="F34" s="4"/>
    </row>
    <row r="35" spans="1:6" x14ac:dyDescent="0.35">
      <c r="A35" s="1" t="s">
        <v>234</v>
      </c>
      <c r="B35">
        <v>30</v>
      </c>
      <c r="E35" s="4">
        <f>SUM($F$9:G34)+0.1</f>
        <v>260.10000000000002</v>
      </c>
      <c r="F35" s="4">
        <v>5</v>
      </c>
    </row>
    <row r="36" spans="1:6" x14ac:dyDescent="0.35">
      <c r="A36" s="1" t="s">
        <v>555</v>
      </c>
      <c r="B36">
        <v>30</v>
      </c>
      <c r="E36" s="4">
        <f>SUM($F$9:G35)+0.1</f>
        <v>265.10000000000002</v>
      </c>
      <c r="F36" s="4"/>
    </row>
    <row r="37" spans="1:6" x14ac:dyDescent="0.35">
      <c r="A37" s="1" t="s">
        <v>591</v>
      </c>
      <c r="B37">
        <v>30</v>
      </c>
      <c r="E37" s="4">
        <f>SUM($F$9:G36)+0.1</f>
        <v>265.10000000000002</v>
      </c>
      <c r="F37" s="4"/>
    </row>
    <row r="38" spans="1:6" x14ac:dyDescent="0.35">
      <c r="A38" s="1" t="s">
        <v>1860</v>
      </c>
      <c r="E38" s="4">
        <f>SUM($F$9:G37)+0.1</f>
        <v>265.10000000000002</v>
      </c>
      <c r="F38" s="4">
        <v>50</v>
      </c>
    </row>
    <row r="39" spans="1:6" x14ac:dyDescent="0.35">
      <c r="A39" s="1" t="s">
        <v>18</v>
      </c>
      <c r="B39">
        <v>30</v>
      </c>
      <c r="E39" s="4">
        <f>SUM($F$9:G38)+0.1</f>
        <v>315.10000000000002</v>
      </c>
      <c r="F39" s="4"/>
    </row>
    <row r="40" spans="1:6" x14ac:dyDescent="0.35">
      <c r="A40" s="1" t="s">
        <v>1919</v>
      </c>
      <c r="E40" s="4">
        <f>SUM($F$9:G39)+0.1</f>
        <v>315.10000000000002</v>
      </c>
      <c r="F40" s="4"/>
    </row>
    <row r="41" spans="1:6" x14ac:dyDescent="0.35">
      <c r="A41" s="1" t="s">
        <v>472</v>
      </c>
      <c r="B41">
        <v>30</v>
      </c>
      <c r="E41" s="4">
        <f>SUM($F$9:G40)+0.1</f>
        <v>315.10000000000002</v>
      </c>
      <c r="F41" s="4"/>
    </row>
    <row r="42" spans="1:6" x14ac:dyDescent="0.35">
      <c r="A42" s="1" t="s">
        <v>215</v>
      </c>
      <c r="B42">
        <v>30</v>
      </c>
      <c r="E42" s="4">
        <f>SUM($F$9:G41)+0.1</f>
        <v>315.10000000000002</v>
      </c>
      <c r="F42" s="4"/>
    </row>
    <row r="43" spans="1:6" x14ac:dyDescent="0.35">
      <c r="A43" s="12" t="s">
        <v>23</v>
      </c>
      <c r="B43">
        <v>30</v>
      </c>
      <c r="E43" s="4">
        <f>SUM($F$9:G42)+0.1</f>
        <v>315.10000000000002</v>
      </c>
      <c r="F43" s="4"/>
    </row>
    <row r="44" spans="1:6" x14ac:dyDescent="0.35">
      <c r="A44" s="1" t="s">
        <v>239</v>
      </c>
      <c r="B44">
        <v>30</v>
      </c>
      <c r="E44" s="4">
        <f>SUM($F$9:G43)+0.1</f>
        <v>315.10000000000002</v>
      </c>
      <c r="F44" s="4"/>
    </row>
    <row r="45" spans="1:6" x14ac:dyDescent="0.35">
      <c r="A45" s="1" t="s">
        <v>240</v>
      </c>
      <c r="B45">
        <v>30</v>
      </c>
      <c r="E45" s="4">
        <f>SUM($F$9:G44)+0.1</f>
        <v>315.10000000000002</v>
      </c>
      <c r="F45" s="4"/>
    </row>
    <row r="46" spans="1:6" x14ac:dyDescent="0.35">
      <c r="A46" s="1" t="s">
        <v>667</v>
      </c>
      <c r="B46">
        <v>30</v>
      </c>
      <c r="E46" s="4">
        <f>SUM($F$9:G45)+0.1</f>
        <v>315.10000000000002</v>
      </c>
      <c r="F46" s="4"/>
    </row>
    <row r="47" spans="1:6" x14ac:dyDescent="0.35">
      <c r="A47" s="1" t="s">
        <v>25</v>
      </c>
      <c r="B47">
        <v>30</v>
      </c>
      <c r="E47" s="4">
        <f>SUM($F$9:G46)+0.1</f>
        <v>315.10000000000002</v>
      </c>
      <c r="F47" s="4">
        <v>5</v>
      </c>
    </row>
    <row r="48" spans="1:6" x14ac:dyDescent="0.35">
      <c r="A48" s="1" t="s">
        <v>474</v>
      </c>
      <c r="B48">
        <v>30</v>
      </c>
      <c r="E48" s="4">
        <f>SUM($F$9:G47)+0.1</f>
        <v>320.10000000000002</v>
      </c>
      <c r="F48" s="4">
        <v>30</v>
      </c>
    </row>
    <row r="49" spans="1:6" x14ac:dyDescent="0.35">
      <c r="A49" s="1" t="s">
        <v>595</v>
      </c>
      <c r="B49">
        <v>30</v>
      </c>
      <c r="E49" s="4">
        <f>SUM($F$9:G48)+0.1</f>
        <v>350.1</v>
      </c>
      <c r="F49" s="4">
        <v>5</v>
      </c>
    </row>
    <row r="50" spans="1:6" x14ac:dyDescent="0.35">
      <c r="A50" s="1" t="s">
        <v>28</v>
      </c>
      <c r="B50">
        <v>30</v>
      </c>
      <c r="E50" s="4">
        <f>SUM($F$9:G49)+0.1</f>
        <v>355.1</v>
      </c>
      <c r="F50" s="4">
        <v>100</v>
      </c>
    </row>
    <row r="51" spans="1:6" x14ac:dyDescent="0.35">
      <c r="A51" s="1" t="s">
        <v>845</v>
      </c>
      <c r="B51">
        <v>30</v>
      </c>
      <c r="C51">
        <v>1</v>
      </c>
      <c r="E51" s="4">
        <f>SUM($F$9:G50)+0.1</f>
        <v>455.1</v>
      </c>
      <c r="F51" s="4"/>
    </row>
    <row r="52" spans="1:6" x14ac:dyDescent="0.35">
      <c r="A52" s="1" t="s">
        <v>598</v>
      </c>
      <c r="B52">
        <v>30</v>
      </c>
      <c r="E52" s="4">
        <f>SUM($F$9:G51)+0.1</f>
        <v>455.1</v>
      </c>
      <c r="F52" s="4"/>
    </row>
    <row r="53" spans="1:6" x14ac:dyDescent="0.35">
      <c r="A53" s="1" t="s">
        <v>1829</v>
      </c>
      <c r="E53" s="4">
        <f>SUM($F$9:G52)+0.1</f>
        <v>455.1</v>
      </c>
      <c r="F53" s="4">
        <v>5</v>
      </c>
    </row>
    <row r="54" spans="1:6" x14ac:dyDescent="0.35">
      <c r="A54" s="1" t="s">
        <v>1855</v>
      </c>
      <c r="E54" s="4">
        <f>SUM($F$9:G53)+0.1</f>
        <v>460.1</v>
      </c>
      <c r="F54" s="4">
        <v>115</v>
      </c>
    </row>
    <row r="55" spans="1:6" x14ac:dyDescent="0.35">
      <c r="A55" s="1" t="s">
        <v>387</v>
      </c>
      <c r="B55">
        <v>30</v>
      </c>
      <c r="C55" t="s">
        <v>901</v>
      </c>
      <c r="E55" s="4">
        <f>SUM($F$9:G54)+0.1</f>
        <v>575.1</v>
      </c>
      <c r="F55" s="4"/>
    </row>
    <row r="56" spans="1:6" x14ac:dyDescent="0.35">
      <c r="A56" s="1" t="s">
        <v>32</v>
      </c>
      <c r="B56">
        <v>30</v>
      </c>
      <c r="C56" t="s">
        <v>903</v>
      </c>
      <c r="E56" s="4">
        <f>SUM($F$9:G55)+0.1</f>
        <v>575.1</v>
      </c>
      <c r="F56" s="4"/>
    </row>
    <row r="57" spans="1:6" x14ac:dyDescent="0.35">
      <c r="A57" s="1" t="s">
        <v>169</v>
      </c>
      <c r="B57">
        <v>30</v>
      </c>
      <c r="E57" s="4">
        <f>SUM($F$9:G56)+0.1</f>
        <v>575.1</v>
      </c>
      <c r="F57" s="4"/>
    </row>
    <row r="58" spans="1:6" x14ac:dyDescent="0.35">
      <c r="A58" s="1" t="s">
        <v>730</v>
      </c>
      <c r="B58">
        <v>30</v>
      </c>
      <c r="E58" s="4">
        <f>SUM($F$9:G57)+0.1</f>
        <v>575.1</v>
      </c>
      <c r="F58" s="4"/>
    </row>
    <row r="59" spans="1:6" x14ac:dyDescent="0.35">
      <c r="A59" s="1" t="s">
        <v>249</v>
      </c>
      <c r="B59">
        <v>30</v>
      </c>
      <c r="C59" t="s">
        <v>903</v>
      </c>
      <c r="E59" s="4">
        <f>SUM($F$9:G58)+0.1</f>
        <v>575.1</v>
      </c>
      <c r="F59" s="4"/>
    </row>
    <row r="60" spans="1:6" x14ac:dyDescent="0.35">
      <c r="A60" s="1" t="s">
        <v>795</v>
      </c>
      <c r="B60">
        <v>30</v>
      </c>
      <c r="C60" t="s">
        <v>903</v>
      </c>
      <c r="E60" s="4">
        <f>SUM($F$9:G59)+0.1</f>
        <v>575.1</v>
      </c>
      <c r="F60" s="4"/>
    </row>
    <row r="61" spans="1:6" x14ac:dyDescent="0.35">
      <c r="A61" s="1" t="s">
        <v>831</v>
      </c>
      <c r="B61">
        <v>30</v>
      </c>
      <c r="E61" s="4">
        <f>SUM($F$9:G60)+0.1</f>
        <v>575.1</v>
      </c>
      <c r="F61" s="4"/>
    </row>
    <row r="62" spans="1:6" x14ac:dyDescent="0.35">
      <c r="A62" s="1" t="s">
        <v>874</v>
      </c>
      <c r="B62">
        <v>30</v>
      </c>
      <c r="E62" s="4">
        <f>SUM($F$9:G61)+0.1</f>
        <v>575.1</v>
      </c>
      <c r="F62" s="4"/>
    </row>
    <row r="63" spans="1:6" x14ac:dyDescent="0.35">
      <c r="A63" s="1" t="s">
        <v>482</v>
      </c>
      <c r="B63">
        <v>30</v>
      </c>
      <c r="E63" s="4">
        <f>SUM($F$9:G62)+0.1</f>
        <v>575.1</v>
      </c>
      <c r="F63" s="4"/>
    </row>
    <row r="64" spans="1:6" x14ac:dyDescent="0.35">
      <c r="A64" s="1" t="s">
        <v>252</v>
      </c>
      <c r="B64">
        <v>30</v>
      </c>
      <c r="E64" s="4">
        <f>SUM($F$9:G63)+0.1</f>
        <v>575.1</v>
      </c>
      <c r="F64" s="4"/>
    </row>
    <row r="65" spans="1:6" x14ac:dyDescent="0.35">
      <c r="A65" s="1" t="s">
        <v>796</v>
      </c>
      <c r="B65">
        <v>30</v>
      </c>
      <c r="E65" s="4">
        <f>SUM($F$9:G64)+0.1</f>
        <v>575.1</v>
      </c>
      <c r="F65" s="4">
        <v>5</v>
      </c>
    </row>
    <row r="66" spans="1:6" x14ac:dyDescent="0.35">
      <c r="A66" s="1" t="s">
        <v>490</v>
      </c>
      <c r="B66">
        <v>30</v>
      </c>
      <c r="E66" s="4">
        <f>SUM($F$9:G65)+0.1</f>
        <v>580.1</v>
      </c>
      <c r="F66" s="4"/>
    </row>
    <row r="67" spans="1:6" x14ac:dyDescent="0.35">
      <c r="A67" s="1" t="s">
        <v>255</v>
      </c>
      <c r="B67">
        <v>30</v>
      </c>
      <c r="E67" s="4">
        <f>SUM($F$9:G66)+0.1</f>
        <v>580.1</v>
      </c>
      <c r="F67" s="4"/>
    </row>
    <row r="68" spans="1:6" x14ac:dyDescent="0.35">
      <c r="A68" s="1" t="s">
        <v>1895</v>
      </c>
      <c r="E68" s="4">
        <f>SUM($F$9:G67)+0.1</f>
        <v>580.1</v>
      </c>
      <c r="F68" s="4"/>
    </row>
    <row r="69" spans="1:6" x14ac:dyDescent="0.35">
      <c r="A69" s="1" t="s">
        <v>256</v>
      </c>
      <c r="B69">
        <v>30</v>
      </c>
      <c r="E69" s="4">
        <f>SUM($F$9:G68)+0.1</f>
        <v>580.1</v>
      </c>
      <c r="F69" s="4"/>
    </row>
    <row r="70" spans="1:6" x14ac:dyDescent="0.35">
      <c r="A70" s="1" t="s">
        <v>257</v>
      </c>
      <c r="B70">
        <v>30</v>
      </c>
      <c r="E70" s="4">
        <f>SUM($F$9:G69)+0.1</f>
        <v>580.1</v>
      </c>
      <c r="F70" s="4">
        <v>5</v>
      </c>
    </row>
    <row r="71" spans="1:6" x14ac:dyDescent="0.35">
      <c r="A71" s="1" t="s">
        <v>1941</v>
      </c>
      <c r="E71" s="4">
        <f>SUM($F$9:G70)+0.1</f>
        <v>585.1</v>
      </c>
      <c r="F71" s="4">
        <v>5</v>
      </c>
    </row>
    <row r="72" spans="1:6" x14ac:dyDescent="0.35">
      <c r="A72" s="1" t="s">
        <v>797</v>
      </c>
      <c r="B72">
        <v>30</v>
      </c>
      <c r="E72" s="4">
        <f>SUM($F$9:G71)+0.1</f>
        <v>590.1</v>
      </c>
      <c r="F72" s="4"/>
    </row>
    <row r="73" spans="1:6" x14ac:dyDescent="0.35">
      <c r="A73" s="1" t="s">
        <v>907</v>
      </c>
      <c r="B73">
        <v>30</v>
      </c>
      <c r="E73" s="4">
        <f>SUM($F$9:G72)+0.1</f>
        <v>590.1</v>
      </c>
      <c r="F73" s="4"/>
    </row>
    <row r="74" spans="1:6" x14ac:dyDescent="0.35">
      <c r="A74" s="1" t="s">
        <v>39</v>
      </c>
      <c r="B74">
        <v>30</v>
      </c>
      <c r="C74" t="s">
        <v>903</v>
      </c>
      <c r="E74" s="4">
        <f>SUM($F$9:G73)+0.1</f>
        <v>590.1</v>
      </c>
      <c r="F74" s="4">
        <v>5</v>
      </c>
    </row>
    <row r="75" spans="1:6" x14ac:dyDescent="0.35">
      <c r="A75" s="1" t="s">
        <v>1913</v>
      </c>
      <c r="E75" s="4">
        <f>SUM($F$9:G74)+0.1</f>
        <v>595.1</v>
      </c>
      <c r="F75" s="4">
        <v>5</v>
      </c>
    </row>
    <row r="76" spans="1:6" x14ac:dyDescent="0.35">
      <c r="A76" s="1" t="s">
        <v>42</v>
      </c>
      <c r="B76">
        <v>30</v>
      </c>
      <c r="C76" t="s">
        <v>903</v>
      </c>
      <c r="E76" s="4">
        <f>SUM($F$9:G75)+0.1</f>
        <v>600.1</v>
      </c>
      <c r="F76" s="4"/>
    </row>
    <row r="77" spans="1:6" x14ac:dyDescent="0.35">
      <c r="A77" s="1" t="s">
        <v>192</v>
      </c>
      <c r="B77">
        <v>30</v>
      </c>
      <c r="E77" s="4">
        <f>SUM($F$9:G76)+0.1</f>
        <v>600.1</v>
      </c>
      <c r="F77" s="4"/>
    </row>
    <row r="78" spans="1:6" x14ac:dyDescent="0.35">
      <c r="A78" s="1" t="s">
        <v>396</v>
      </c>
      <c r="B78">
        <v>30</v>
      </c>
      <c r="E78" s="4">
        <f>SUM($F$9:G77)+0.1</f>
        <v>600.1</v>
      </c>
      <c r="F78" s="4"/>
    </row>
    <row r="79" spans="1:6" x14ac:dyDescent="0.35">
      <c r="A79" s="1" t="s">
        <v>158</v>
      </c>
      <c r="B79">
        <v>30</v>
      </c>
      <c r="E79" s="4">
        <f>SUM($F$9:G78)+0.1</f>
        <v>600.1</v>
      </c>
      <c r="F79" s="4"/>
    </row>
    <row r="80" spans="1:6" x14ac:dyDescent="0.35">
      <c r="A80" s="1" t="s">
        <v>799</v>
      </c>
      <c r="B80">
        <v>30</v>
      </c>
      <c r="E80" s="4">
        <f>SUM($F$9:G79)+0.1</f>
        <v>600.1</v>
      </c>
      <c r="F80" s="4"/>
    </row>
    <row r="81" spans="1:7" x14ac:dyDescent="0.35">
      <c r="A81" s="1" t="s">
        <v>559</v>
      </c>
      <c r="B81">
        <v>30</v>
      </c>
      <c r="E81" s="4">
        <f>SUM($F$9:G80)+0.1</f>
        <v>600.1</v>
      </c>
      <c r="F81" s="4"/>
    </row>
    <row r="82" spans="1:7" x14ac:dyDescent="0.35">
      <c r="A82" s="1" t="s">
        <v>495</v>
      </c>
      <c r="B82">
        <v>30</v>
      </c>
      <c r="E82" s="4">
        <f>SUM($F$9:G81)+0.1</f>
        <v>600.1</v>
      </c>
      <c r="F82" s="4"/>
    </row>
    <row r="83" spans="1:7" x14ac:dyDescent="0.35">
      <c r="A83" s="1" t="s">
        <v>849</v>
      </c>
      <c r="B83">
        <v>30</v>
      </c>
      <c r="E83" s="4">
        <f>SUM($F$9:G82)+0.1</f>
        <v>600.1</v>
      </c>
      <c r="F83" s="4">
        <v>5</v>
      </c>
    </row>
    <row r="84" spans="1:7" x14ac:dyDescent="0.35">
      <c r="A84" s="1" t="s">
        <v>848</v>
      </c>
      <c r="B84">
        <v>30</v>
      </c>
      <c r="E84" s="4">
        <f>SUM($F$9:G83)+0.1</f>
        <v>605.1</v>
      </c>
      <c r="F84" s="4"/>
    </row>
    <row r="85" spans="1:7" x14ac:dyDescent="0.35">
      <c r="A85" s="1" t="s">
        <v>264</v>
      </c>
      <c r="B85">
        <v>30</v>
      </c>
      <c r="E85" s="4">
        <f>SUM($F$9:G84)+0.1</f>
        <v>605.1</v>
      </c>
      <c r="F85" s="4"/>
    </row>
    <row r="86" spans="1:7" x14ac:dyDescent="0.35">
      <c r="A86" s="1" t="s">
        <v>673</v>
      </c>
      <c r="B86">
        <v>30</v>
      </c>
      <c r="E86" s="4">
        <f>SUM($F$9:G85)+0.1</f>
        <v>605.1</v>
      </c>
      <c r="F86" s="4"/>
    </row>
    <row r="87" spans="1:7" x14ac:dyDescent="0.35">
      <c r="A87" s="1" t="s">
        <v>267</v>
      </c>
      <c r="B87">
        <v>30</v>
      </c>
      <c r="E87" s="4">
        <f>SUM($F$9:G86)+0.1</f>
        <v>605.1</v>
      </c>
      <c r="F87" s="4"/>
    </row>
    <row r="88" spans="1:7" x14ac:dyDescent="0.35">
      <c r="A88" s="1" t="s">
        <v>674</v>
      </c>
      <c r="B88">
        <v>30</v>
      </c>
      <c r="E88" s="4">
        <f>SUM($F$9:G87)+0.1</f>
        <v>605.1</v>
      </c>
      <c r="F88" s="4"/>
    </row>
    <row r="89" spans="1:7" x14ac:dyDescent="0.35">
      <c r="A89" s="1" t="s">
        <v>51</v>
      </c>
      <c r="B89">
        <v>30</v>
      </c>
      <c r="E89" s="4">
        <f>SUM($F$9:G88)+0.1</f>
        <v>605.1</v>
      </c>
      <c r="F89" s="4"/>
    </row>
    <row r="90" spans="1:7" x14ac:dyDescent="0.35">
      <c r="A90" s="1" t="s">
        <v>604</v>
      </c>
      <c r="B90">
        <v>30</v>
      </c>
      <c r="E90" s="4">
        <f>SUM($F$9:G89)+0.1</f>
        <v>605.1</v>
      </c>
      <c r="F90" s="4"/>
    </row>
    <row r="91" spans="1:7" x14ac:dyDescent="0.35">
      <c r="A91" s="1" t="s">
        <v>1931</v>
      </c>
      <c r="E91" s="4">
        <f>SUM($F$9:G90)+0.1</f>
        <v>605.1</v>
      </c>
      <c r="F91" s="4">
        <v>20</v>
      </c>
    </row>
    <row r="92" spans="1:7" x14ac:dyDescent="0.35">
      <c r="A92" s="1" t="s">
        <v>52</v>
      </c>
      <c r="B92">
        <v>30</v>
      </c>
      <c r="E92" s="4">
        <f>SUM($F$9:G91)+0.1</f>
        <v>625.1</v>
      </c>
      <c r="F92" s="4">
        <v>5</v>
      </c>
      <c r="G92">
        <v>250</v>
      </c>
    </row>
    <row r="93" spans="1:7" x14ac:dyDescent="0.35">
      <c r="A93" s="1" t="s">
        <v>502</v>
      </c>
      <c r="B93">
        <v>30</v>
      </c>
      <c r="E93" s="4">
        <f>SUM($F$9:G92)+0.1</f>
        <v>880.1</v>
      </c>
      <c r="F93" s="4"/>
    </row>
    <row r="94" spans="1:7" x14ac:dyDescent="0.35">
      <c r="A94" s="1" t="s">
        <v>53</v>
      </c>
      <c r="B94">
        <v>30</v>
      </c>
      <c r="E94" s="4">
        <f>SUM($F$9:G93)+0.1</f>
        <v>880.1</v>
      </c>
      <c r="F94" s="4"/>
    </row>
    <row r="95" spans="1:7" x14ac:dyDescent="0.35">
      <c r="A95" s="1" t="s">
        <v>55</v>
      </c>
      <c r="B95">
        <v>30</v>
      </c>
      <c r="E95" s="4">
        <f>SUM($F$9:G94)+0.1</f>
        <v>880.1</v>
      </c>
      <c r="F95" s="4"/>
    </row>
    <row r="96" spans="1:7" x14ac:dyDescent="0.35">
      <c r="A96" s="1" t="s">
        <v>269</v>
      </c>
      <c r="B96">
        <v>30</v>
      </c>
      <c r="E96" s="4">
        <f>SUM($F$9:G95)+0.1</f>
        <v>880.1</v>
      </c>
      <c r="F96" s="4"/>
    </row>
    <row r="97" spans="1:6" x14ac:dyDescent="0.35">
      <c r="A97" s="1" t="s">
        <v>179</v>
      </c>
      <c r="B97">
        <v>30</v>
      </c>
      <c r="E97" s="4">
        <f>SUM($F$9:G96)+0.1</f>
        <v>880.1</v>
      </c>
      <c r="F97" s="4"/>
    </row>
    <row r="98" spans="1:6" x14ac:dyDescent="0.35">
      <c r="A98" s="1" t="s">
        <v>677</v>
      </c>
      <c r="B98">
        <v>30</v>
      </c>
      <c r="E98" s="4">
        <f>SUM($F$9:G97)+0.1</f>
        <v>880.1</v>
      </c>
      <c r="F98" s="4"/>
    </row>
    <row r="99" spans="1:6" x14ac:dyDescent="0.35">
      <c r="A99" s="1" t="s">
        <v>875</v>
      </c>
      <c r="B99">
        <v>30</v>
      </c>
      <c r="E99" s="4">
        <f>SUM($F$9:G98)+0.1</f>
        <v>880.1</v>
      </c>
      <c r="F99" s="4"/>
    </row>
    <row r="100" spans="1:6" x14ac:dyDescent="0.35">
      <c r="A100" s="1" t="s">
        <v>679</v>
      </c>
      <c r="B100">
        <v>30</v>
      </c>
      <c r="E100" s="4">
        <f>SUM($F$9:G99)+0.1</f>
        <v>880.1</v>
      </c>
      <c r="F100" s="4"/>
    </row>
    <row r="101" spans="1:6" x14ac:dyDescent="0.35">
      <c r="A101" s="1" t="s">
        <v>272</v>
      </c>
      <c r="B101">
        <v>30</v>
      </c>
      <c r="E101" s="4">
        <f>SUM($F$9:G100)+0.1</f>
        <v>880.1</v>
      </c>
      <c r="F101" s="4">
        <v>5</v>
      </c>
    </row>
    <row r="102" spans="1:6" x14ac:dyDescent="0.35">
      <c r="A102" s="1" t="s">
        <v>563</v>
      </c>
      <c r="B102">
        <v>30</v>
      </c>
      <c r="E102" s="4">
        <f>SUM($F$9:G101)+0.1</f>
        <v>885.1</v>
      </c>
      <c r="F102" s="4"/>
    </row>
    <row r="103" spans="1:6" x14ac:dyDescent="0.35">
      <c r="A103" s="1" t="s">
        <v>274</v>
      </c>
      <c r="B103">
        <v>30</v>
      </c>
      <c r="E103" s="4">
        <f>SUM($F$9:G102)+0.1</f>
        <v>885.1</v>
      </c>
      <c r="F103" s="4"/>
    </row>
    <row r="104" spans="1:6" x14ac:dyDescent="0.35">
      <c r="A104" s="1" t="s">
        <v>275</v>
      </c>
      <c r="B104">
        <v>30</v>
      </c>
      <c r="E104" s="4">
        <f>SUM($F$9:G103)+0.1</f>
        <v>885.1</v>
      </c>
      <c r="F104" s="4"/>
    </row>
    <row r="105" spans="1:6" x14ac:dyDescent="0.35">
      <c r="A105" s="1" t="s">
        <v>567</v>
      </c>
      <c r="B105">
        <v>30</v>
      </c>
      <c r="E105" s="4">
        <f>SUM($F$9:G104)+0.1</f>
        <v>885.1</v>
      </c>
      <c r="F105" s="4"/>
    </row>
    <row r="106" spans="1:6" x14ac:dyDescent="0.35">
      <c r="A106" s="1" t="s">
        <v>506</v>
      </c>
      <c r="B106">
        <v>30</v>
      </c>
      <c r="D106" t="s">
        <v>472</v>
      </c>
      <c r="E106" s="4">
        <f>SUM($F$9:G105)+0.1</f>
        <v>885.1</v>
      </c>
      <c r="F106" s="4"/>
    </row>
    <row r="107" spans="1:6" x14ac:dyDescent="0.35">
      <c r="A107" s="1" t="s">
        <v>684</v>
      </c>
      <c r="B107">
        <v>30</v>
      </c>
      <c r="E107" s="4">
        <f>SUM($F$9:G106)+0.1</f>
        <v>885.1</v>
      </c>
      <c r="F107" s="4"/>
    </row>
    <row r="108" spans="1:6" x14ac:dyDescent="0.35">
      <c r="A108" s="1" t="s">
        <v>1859</v>
      </c>
      <c r="E108" s="4">
        <f>SUM($F$9:G107)+0.1</f>
        <v>885.1</v>
      </c>
      <c r="F108" s="4"/>
    </row>
    <row r="109" spans="1:6" x14ac:dyDescent="0.35">
      <c r="A109" s="1" t="s">
        <v>507</v>
      </c>
      <c r="B109">
        <v>30</v>
      </c>
      <c r="E109" s="4">
        <f>SUM($F$9:G108)+0.1</f>
        <v>885.1</v>
      </c>
      <c r="F109" s="4"/>
    </row>
    <row r="110" spans="1:6" x14ac:dyDescent="0.35">
      <c r="A110" s="1" t="s">
        <v>279</v>
      </c>
      <c r="B110">
        <v>30</v>
      </c>
      <c r="E110" s="4">
        <f>SUM($F$9:G109)+0.1</f>
        <v>885.1</v>
      </c>
      <c r="F110" s="4"/>
    </row>
    <row r="111" spans="1:6" x14ac:dyDescent="0.35">
      <c r="A111" s="1" t="s">
        <v>508</v>
      </c>
      <c r="B111">
        <v>30</v>
      </c>
      <c r="E111" s="4">
        <f>SUM($F$9:G110)+0.1</f>
        <v>885.1</v>
      </c>
      <c r="F111" s="4"/>
    </row>
    <row r="112" spans="1:6" x14ac:dyDescent="0.35">
      <c r="A112" s="1" t="s">
        <v>280</v>
      </c>
      <c r="B112">
        <v>30</v>
      </c>
      <c r="C112" t="s">
        <v>900</v>
      </c>
      <c r="E112" s="4">
        <f>SUM($F$9:G111)+0.1</f>
        <v>885.1</v>
      </c>
      <c r="F112" s="4"/>
    </row>
    <row r="113" spans="1:6" x14ac:dyDescent="0.35">
      <c r="A113" s="1" t="s">
        <v>281</v>
      </c>
      <c r="B113">
        <v>30</v>
      </c>
      <c r="C113" t="s">
        <v>903</v>
      </c>
      <c r="E113" s="4">
        <f>SUM($F$9:G112)+0.1</f>
        <v>885.1</v>
      </c>
      <c r="F113" s="4"/>
    </row>
    <row r="114" spans="1:6" x14ac:dyDescent="0.35">
      <c r="A114" s="1" t="s">
        <v>60</v>
      </c>
      <c r="B114">
        <v>30</v>
      </c>
      <c r="E114" s="4">
        <f>SUM($F$9:G113)+0.1</f>
        <v>885.1</v>
      </c>
      <c r="F114" s="4"/>
    </row>
    <row r="115" spans="1:6" x14ac:dyDescent="0.35">
      <c r="A115" s="1" t="s">
        <v>643</v>
      </c>
      <c r="B115">
        <v>30</v>
      </c>
      <c r="E115" s="4">
        <f>SUM($F$9:G114)+0.1</f>
        <v>885.1</v>
      </c>
      <c r="F115" s="4"/>
    </row>
    <row r="116" spans="1:6" x14ac:dyDescent="0.35">
      <c r="A116" s="1" t="s">
        <v>877</v>
      </c>
      <c r="B116">
        <v>30</v>
      </c>
      <c r="E116" s="4">
        <f>SUM($F$9:G115)+0.1</f>
        <v>885.1</v>
      </c>
      <c r="F116" s="4"/>
    </row>
    <row r="117" spans="1:6" x14ac:dyDescent="0.35">
      <c r="A117" s="1" t="s">
        <v>688</v>
      </c>
      <c r="B117">
        <v>30</v>
      </c>
      <c r="C117" t="s">
        <v>900</v>
      </c>
      <c r="E117" s="4">
        <f>SUM($F$9:G116)+0.1</f>
        <v>885.1</v>
      </c>
      <c r="F117" s="4"/>
    </row>
    <row r="118" spans="1:6" x14ac:dyDescent="0.35">
      <c r="A118" s="1" t="s">
        <v>687</v>
      </c>
      <c r="B118">
        <v>30</v>
      </c>
      <c r="E118" s="4">
        <f>SUM($F$9:G117)+0.1</f>
        <v>885.1</v>
      </c>
      <c r="F118" s="4"/>
    </row>
    <row r="119" spans="1:6" x14ac:dyDescent="0.35">
      <c r="A119" s="1" t="s">
        <v>286</v>
      </c>
      <c r="B119">
        <v>30</v>
      </c>
      <c r="C119">
        <v>1</v>
      </c>
      <c r="E119" s="4">
        <f>SUM($F$9:G118)+0.1</f>
        <v>885.1</v>
      </c>
      <c r="F119" s="4"/>
    </row>
    <row r="120" spans="1:6" x14ac:dyDescent="0.35">
      <c r="A120" s="1" t="s">
        <v>690</v>
      </c>
      <c r="B120">
        <v>30</v>
      </c>
      <c r="E120" s="4">
        <f>SUM($F$9:G119)+0.1</f>
        <v>885.1</v>
      </c>
      <c r="F120" s="4"/>
    </row>
    <row r="121" spans="1:6" x14ac:dyDescent="0.35">
      <c r="A121" s="1" t="s">
        <v>644</v>
      </c>
      <c r="B121">
        <v>30</v>
      </c>
      <c r="E121" s="4">
        <f>SUM($F$9:G120)+0.1</f>
        <v>885.1</v>
      </c>
      <c r="F121" s="4"/>
    </row>
    <row r="122" spans="1:6" x14ac:dyDescent="0.35">
      <c r="A122" s="1" t="s">
        <v>289</v>
      </c>
      <c r="B122">
        <v>30</v>
      </c>
      <c r="E122" s="4">
        <f>SUM($F$9:G121)+0.1</f>
        <v>885.1</v>
      </c>
      <c r="F122" s="4"/>
    </row>
    <row r="123" spans="1:6" x14ac:dyDescent="0.35">
      <c r="A123" s="1" t="s">
        <v>65</v>
      </c>
      <c r="B123">
        <v>30</v>
      </c>
      <c r="E123" s="4">
        <f>SUM($F$9:G122)+0.1</f>
        <v>885.1</v>
      </c>
      <c r="F123" s="4"/>
    </row>
    <row r="124" spans="1:6" x14ac:dyDescent="0.35">
      <c r="A124" s="1" t="s">
        <v>781</v>
      </c>
      <c r="B124">
        <v>30</v>
      </c>
      <c r="C124" t="s">
        <v>900</v>
      </c>
      <c r="E124" s="4">
        <f>SUM($F$9:G123)+0.1</f>
        <v>885.1</v>
      </c>
      <c r="F124" s="4"/>
    </row>
    <row r="125" spans="1:6" x14ac:dyDescent="0.35">
      <c r="A125" s="1" t="s">
        <v>66</v>
      </c>
      <c r="B125">
        <v>30</v>
      </c>
      <c r="E125" s="4">
        <f>SUM($F$9:G124)+0.1</f>
        <v>885.1</v>
      </c>
      <c r="F125" s="4">
        <v>5</v>
      </c>
    </row>
    <row r="126" spans="1:6" x14ac:dyDescent="0.35">
      <c r="A126" s="1" t="s">
        <v>293</v>
      </c>
      <c r="B126">
        <v>30</v>
      </c>
      <c r="E126" s="4">
        <f>SUM($F$9:G125)+0.1</f>
        <v>890.1</v>
      </c>
      <c r="F126" s="4"/>
    </row>
    <row r="127" spans="1:6" x14ac:dyDescent="0.35">
      <c r="A127" s="1" t="s">
        <v>878</v>
      </c>
      <c r="B127">
        <v>30</v>
      </c>
      <c r="E127" s="4">
        <f>SUM($F$9:G126)+0.1</f>
        <v>890.1</v>
      </c>
      <c r="F127" s="4"/>
    </row>
    <row r="128" spans="1:6" x14ac:dyDescent="0.35">
      <c r="A128" s="1" t="s">
        <v>401</v>
      </c>
      <c r="B128">
        <v>30</v>
      </c>
      <c r="E128" s="4">
        <f>SUM($F$9:G127)+0.1</f>
        <v>890.1</v>
      </c>
      <c r="F128" s="4"/>
    </row>
    <row r="129" spans="1:6" x14ac:dyDescent="0.35">
      <c r="A129" s="1" t="s">
        <v>616</v>
      </c>
      <c r="B129">
        <v>30</v>
      </c>
      <c r="E129" s="4">
        <f>SUM($F$9:G128)+0.1</f>
        <v>890.1</v>
      </c>
      <c r="F129" s="4"/>
    </row>
    <row r="130" spans="1:6" x14ac:dyDescent="0.35">
      <c r="A130" s="1" t="s">
        <v>617</v>
      </c>
      <c r="B130">
        <v>30</v>
      </c>
      <c r="E130" s="4">
        <f>SUM($F$9:G129)+0.1</f>
        <v>890.1</v>
      </c>
      <c r="F130" s="4"/>
    </row>
    <row r="131" spans="1:6" x14ac:dyDescent="0.35">
      <c r="A131" s="1" t="s">
        <v>887</v>
      </c>
      <c r="B131">
        <v>30</v>
      </c>
      <c r="C131" t="s">
        <v>903</v>
      </c>
      <c r="E131" s="4">
        <f>SUM($F$9:G130)+0.1</f>
        <v>890.1</v>
      </c>
      <c r="F131" s="4"/>
    </row>
    <row r="132" spans="1:6" x14ac:dyDescent="0.35">
      <c r="A132" s="1" t="s">
        <v>68</v>
      </c>
      <c r="B132">
        <v>30</v>
      </c>
      <c r="E132" s="4">
        <f>SUM($F$9:G131)+0.1</f>
        <v>890.1</v>
      </c>
      <c r="F132" s="4"/>
    </row>
    <row r="133" spans="1:6" x14ac:dyDescent="0.35">
      <c r="A133" s="1" t="s">
        <v>888</v>
      </c>
      <c r="B133">
        <v>30</v>
      </c>
      <c r="E133" s="4">
        <f>SUM($F$9:G132)+0.1</f>
        <v>890.1</v>
      </c>
      <c r="F133" s="4"/>
    </row>
    <row r="134" spans="1:6" x14ac:dyDescent="0.35">
      <c r="A134" s="1" t="s">
        <v>736</v>
      </c>
      <c r="B134">
        <v>30</v>
      </c>
      <c r="C134" t="s">
        <v>900</v>
      </c>
      <c r="E134" s="4">
        <f>SUM($F$9:G133)+0.1</f>
        <v>890.1</v>
      </c>
      <c r="F134" s="4"/>
    </row>
    <row r="135" spans="1:6" x14ac:dyDescent="0.35">
      <c r="A135" s="1" t="s">
        <v>693</v>
      </c>
      <c r="B135">
        <v>30</v>
      </c>
      <c r="C135" t="s">
        <v>903</v>
      </c>
      <c r="E135" s="4">
        <f>SUM($F$9:G134)+0.1</f>
        <v>890.1</v>
      </c>
      <c r="F135" s="4"/>
    </row>
    <row r="136" spans="1:6" x14ac:dyDescent="0.35">
      <c r="A136" s="1" t="s">
        <v>1932</v>
      </c>
      <c r="E136" s="4">
        <f>SUM($F$9:G135)+0.1</f>
        <v>890.1</v>
      </c>
      <c r="F136" s="4">
        <v>40</v>
      </c>
    </row>
    <row r="137" spans="1:6" x14ac:dyDescent="0.35">
      <c r="A137" s="1" t="s">
        <v>296</v>
      </c>
      <c r="B137">
        <v>30</v>
      </c>
      <c r="C137" t="s">
        <v>903</v>
      </c>
      <c r="E137" s="4">
        <f>SUM($F$9:G136)+0.1</f>
        <v>930.1</v>
      </c>
      <c r="F137" s="4">
        <v>15</v>
      </c>
    </row>
    <row r="138" spans="1:6" x14ac:dyDescent="0.35">
      <c r="A138" s="1" t="s">
        <v>71</v>
      </c>
      <c r="B138">
        <v>30</v>
      </c>
      <c r="E138" s="4">
        <f>SUM($F$9:G137)+0.1</f>
        <v>945.1</v>
      </c>
      <c r="F138" s="4"/>
    </row>
    <row r="139" spans="1:6" x14ac:dyDescent="0.35">
      <c r="A139" s="1" t="s">
        <v>852</v>
      </c>
      <c r="B139">
        <v>30</v>
      </c>
      <c r="E139" s="4">
        <f>SUM($F$9:G138)+0.1</f>
        <v>945.1</v>
      </c>
      <c r="F139" s="4"/>
    </row>
    <row r="140" spans="1:6" x14ac:dyDescent="0.35">
      <c r="A140" s="1" t="s">
        <v>299</v>
      </c>
      <c r="B140">
        <v>30</v>
      </c>
      <c r="E140" s="4">
        <f>SUM($F$9:G139)+0.1</f>
        <v>945.1</v>
      </c>
      <c r="F140" s="4"/>
    </row>
    <row r="141" spans="1:6" x14ac:dyDescent="0.35">
      <c r="A141" s="1" t="s">
        <v>72</v>
      </c>
      <c r="B141">
        <v>30</v>
      </c>
      <c r="E141" s="4">
        <f>SUM($F$9:G140)+0.1</f>
        <v>945.1</v>
      </c>
      <c r="F141" s="4"/>
    </row>
    <row r="142" spans="1:6" x14ac:dyDescent="0.35">
      <c r="A142" s="1" t="s">
        <v>511</v>
      </c>
      <c r="B142">
        <v>30</v>
      </c>
      <c r="E142" s="4">
        <f>SUM($F$9:G141)+0.1</f>
        <v>945.1</v>
      </c>
      <c r="F142" s="4"/>
    </row>
    <row r="143" spans="1:6" x14ac:dyDescent="0.35">
      <c r="A143" s="1" t="s">
        <v>402</v>
      </c>
      <c r="B143">
        <v>30</v>
      </c>
      <c r="E143" s="4">
        <f>SUM($F$9:G142)+0.1</f>
        <v>945.1</v>
      </c>
      <c r="F143" s="4"/>
    </row>
    <row r="144" spans="1:6" x14ac:dyDescent="0.35">
      <c r="A144" s="1" t="s">
        <v>300</v>
      </c>
      <c r="B144">
        <v>30</v>
      </c>
      <c r="E144" s="4">
        <f>SUM($F$9:G143)+0.1</f>
        <v>945.1</v>
      </c>
      <c r="F144" s="4"/>
    </row>
    <row r="145" spans="1:6" x14ac:dyDescent="0.35">
      <c r="A145" s="1" t="s">
        <v>1915</v>
      </c>
      <c r="E145" s="4">
        <f>SUM($F$9:G144)+0.1</f>
        <v>945.1</v>
      </c>
      <c r="F145" s="4">
        <v>5</v>
      </c>
    </row>
    <row r="146" spans="1:6" x14ac:dyDescent="0.35">
      <c r="A146" s="1" t="s">
        <v>740</v>
      </c>
      <c r="B146">
        <v>30</v>
      </c>
      <c r="E146" s="4">
        <f>SUM($F$9:G145)+0.1</f>
        <v>950.1</v>
      </c>
      <c r="F146" s="4"/>
    </row>
    <row r="147" spans="1:6" x14ac:dyDescent="0.35">
      <c r="A147" s="1" t="s">
        <v>569</v>
      </c>
      <c r="B147">
        <v>30</v>
      </c>
      <c r="E147" s="4">
        <f>SUM($F$9:G146)+0.1</f>
        <v>950.1</v>
      </c>
      <c r="F147" s="4"/>
    </row>
    <row r="148" spans="1:6" x14ac:dyDescent="0.35">
      <c r="A148" s="1" t="s">
        <v>513</v>
      </c>
      <c r="B148">
        <v>30</v>
      </c>
      <c r="E148" s="4">
        <f>SUM($F$9:G147)+0.1</f>
        <v>950.1</v>
      </c>
      <c r="F148" s="4"/>
    </row>
    <row r="149" spans="1:6" x14ac:dyDescent="0.35">
      <c r="A149" s="1" t="s">
        <v>516</v>
      </c>
      <c r="B149">
        <v>30</v>
      </c>
      <c r="E149" s="4">
        <f>SUM($F$9:G148)+0.1</f>
        <v>950.1</v>
      </c>
      <c r="F149" s="4"/>
    </row>
    <row r="150" spans="1:6" x14ac:dyDescent="0.35">
      <c r="A150" s="1" t="s">
        <v>517</v>
      </c>
      <c r="B150">
        <v>30</v>
      </c>
      <c r="E150" s="4">
        <f>SUM($F$9:G149)+0.1</f>
        <v>950.1</v>
      </c>
      <c r="F150" s="4"/>
    </row>
    <row r="151" spans="1:6" x14ac:dyDescent="0.35">
      <c r="A151" s="1" t="s">
        <v>519</v>
      </c>
      <c r="B151">
        <v>30</v>
      </c>
      <c r="E151" s="4">
        <f>SUM($F$9:G150)+0.1</f>
        <v>950.1</v>
      </c>
      <c r="F151" s="4"/>
    </row>
    <row r="152" spans="1:6" x14ac:dyDescent="0.35">
      <c r="A152" s="1" t="s">
        <v>520</v>
      </c>
      <c r="B152">
        <v>30</v>
      </c>
      <c r="E152" s="4">
        <f>SUM($F$9:G151)+0.1</f>
        <v>950.1</v>
      </c>
      <c r="F152" s="4"/>
    </row>
    <row r="153" spans="1:6" x14ac:dyDescent="0.35">
      <c r="A153" s="1" t="s">
        <v>806</v>
      </c>
      <c r="B153">
        <v>30</v>
      </c>
      <c r="C153" t="s">
        <v>903</v>
      </c>
      <c r="E153" s="4">
        <f>SUM($F$9:G152)+0.1</f>
        <v>950.1</v>
      </c>
      <c r="F153" s="4"/>
    </row>
    <row r="154" spans="1:6" x14ac:dyDescent="0.35">
      <c r="A154" s="1" t="s">
        <v>306</v>
      </c>
      <c r="B154">
        <v>30</v>
      </c>
      <c r="E154" s="4">
        <f>SUM($F$9:G153)+0.1</f>
        <v>950.1</v>
      </c>
      <c r="F154" s="4"/>
    </row>
    <row r="155" spans="1:6" x14ac:dyDescent="0.35">
      <c r="A155" s="1" t="s">
        <v>307</v>
      </c>
      <c r="B155">
        <v>30</v>
      </c>
      <c r="E155" s="4">
        <f>SUM($F$9:G154)+0.1</f>
        <v>950.1</v>
      </c>
      <c r="F155" s="4"/>
    </row>
    <row r="156" spans="1:6" x14ac:dyDescent="0.35">
      <c r="A156" s="1" t="s">
        <v>1884</v>
      </c>
      <c r="E156" s="4">
        <f>SUM($F$9:G155)+0.1</f>
        <v>950.1</v>
      </c>
      <c r="F156" s="4"/>
    </row>
    <row r="157" spans="1:6" x14ac:dyDescent="0.35">
      <c r="A157" s="1" t="s">
        <v>807</v>
      </c>
      <c r="B157">
        <v>30</v>
      </c>
      <c r="E157" s="4">
        <f>SUM($F$9:G156)+0.1</f>
        <v>950.1</v>
      </c>
      <c r="F157" s="4"/>
    </row>
    <row r="158" spans="1:6" x14ac:dyDescent="0.35">
      <c r="A158" s="1" t="s">
        <v>619</v>
      </c>
      <c r="B158">
        <v>30</v>
      </c>
      <c r="C158" t="s">
        <v>903</v>
      </c>
      <c r="E158" s="4">
        <f>SUM($F$9:G157)+0.1</f>
        <v>950.1</v>
      </c>
      <c r="F158" s="4"/>
    </row>
    <row r="159" spans="1:6" x14ac:dyDescent="0.35">
      <c r="A159" s="1" t="s">
        <v>311</v>
      </c>
      <c r="B159">
        <v>30</v>
      </c>
      <c r="E159" s="4">
        <f>SUM($F$9:G158)+0.1</f>
        <v>950.1</v>
      </c>
      <c r="F159" s="4"/>
    </row>
    <row r="160" spans="1:6" x14ac:dyDescent="0.35">
      <c r="A160" s="1" t="s">
        <v>314</v>
      </c>
      <c r="B160">
        <v>30</v>
      </c>
      <c r="E160" s="4">
        <f>SUM($F$9:G159)+0.1</f>
        <v>950.1</v>
      </c>
      <c r="F160" s="4"/>
    </row>
    <row r="161" spans="1:6" x14ac:dyDescent="0.35">
      <c r="A161" s="1" t="s">
        <v>316</v>
      </c>
      <c r="B161">
        <v>30</v>
      </c>
      <c r="C161" t="s">
        <v>903</v>
      </c>
      <c r="E161" s="4">
        <f>SUM($F$9:G160)+0.1</f>
        <v>950.1</v>
      </c>
      <c r="F161" s="4"/>
    </row>
    <row r="162" spans="1:6" x14ac:dyDescent="0.35">
      <c r="A162" s="1" t="s">
        <v>521</v>
      </c>
      <c r="B162">
        <v>30</v>
      </c>
      <c r="E162" s="4">
        <f>SUM($F$9:G161)+0.1</f>
        <v>950.1</v>
      </c>
      <c r="F162" s="4"/>
    </row>
    <row r="163" spans="1:6" x14ac:dyDescent="0.35">
      <c r="A163" s="1" t="s">
        <v>317</v>
      </c>
      <c r="B163">
        <v>30</v>
      </c>
      <c r="E163" s="4">
        <f>SUM($F$9:G162)+0.1</f>
        <v>950.1</v>
      </c>
      <c r="F163" s="4"/>
    </row>
    <row r="164" spans="1:6" x14ac:dyDescent="0.35">
      <c r="A164" s="1" t="s">
        <v>523</v>
      </c>
      <c r="B164">
        <v>30</v>
      </c>
      <c r="E164" s="4">
        <f>SUM($F$9:G163)+0.1</f>
        <v>950.1</v>
      </c>
      <c r="F164" s="4"/>
    </row>
    <row r="165" spans="1:6" x14ac:dyDescent="0.35">
      <c r="A165" s="1" t="s">
        <v>526</v>
      </c>
      <c r="B165">
        <v>30</v>
      </c>
      <c r="C165">
        <v>1</v>
      </c>
      <c r="E165" s="4">
        <f>SUM($F$9:G164)+0.1</f>
        <v>950.1</v>
      </c>
      <c r="F165" s="4"/>
    </row>
    <row r="166" spans="1:6" x14ac:dyDescent="0.35">
      <c r="A166" s="1" t="s">
        <v>323</v>
      </c>
      <c r="B166">
        <v>30</v>
      </c>
      <c r="C166" t="s">
        <v>901</v>
      </c>
      <c r="E166" s="4">
        <f>SUM($F$9:G165)+0.1</f>
        <v>950.1</v>
      </c>
      <c r="F166" s="4"/>
    </row>
    <row r="167" spans="1:6" x14ac:dyDescent="0.35">
      <c r="A167" s="1" t="s">
        <v>1920</v>
      </c>
      <c r="E167" s="4">
        <f>SUM($F$9:G166)+0.1</f>
        <v>950.1</v>
      </c>
      <c r="F167" s="4">
        <v>80</v>
      </c>
    </row>
    <row r="168" spans="1:6" x14ac:dyDescent="0.35">
      <c r="A168" s="1" t="s">
        <v>522</v>
      </c>
      <c r="B168">
        <v>30</v>
      </c>
      <c r="E168" s="4">
        <f>SUM($F$9:G167)+0.1</f>
        <v>1030.0999999999999</v>
      </c>
      <c r="F168" s="4"/>
    </row>
    <row r="169" spans="1:6" x14ac:dyDescent="0.35">
      <c r="A169" s="1" t="s">
        <v>326</v>
      </c>
      <c r="B169">
        <v>30</v>
      </c>
      <c r="E169" s="4">
        <f>SUM($F$9:G168)+0.1</f>
        <v>1030.0999999999999</v>
      </c>
      <c r="F169" s="4"/>
    </row>
    <row r="170" spans="1:6" x14ac:dyDescent="0.35">
      <c r="A170" s="1" t="s">
        <v>789</v>
      </c>
      <c r="B170">
        <v>30</v>
      </c>
      <c r="C170" t="s">
        <v>903</v>
      </c>
      <c r="E170" s="4">
        <f>SUM($F$9:G169)+0.1</f>
        <v>1030.0999999999999</v>
      </c>
      <c r="F170" s="4"/>
    </row>
    <row r="171" spans="1:6" x14ac:dyDescent="0.35">
      <c r="A171" s="1" t="s">
        <v>327</v>
      </c>
      <c r="B171">
        <v>30</v>
      </c>
      <c r="E171" s="4">
        <f>SUM($F$9:G170)+0.1</f>
        <v>1030.0999999999999</v>
      </c>
      <c r="F171" s="4">
        <v>5</v>
      </c>
    </row>
    <row r="172" spans="1:6" x14ac:dyDescent="0.35">
      <c r="A172" s="1" t="s">
        <v>1927</v>
      </c>
      <c r="E172" s="4">
        <f>SUM($F$9:G171)+0.1</f>
        <v>1035.0999999999999</v>
      </c>
      <c r="F172" s="4">
        <v>15</v>
      </c>
    </row>
    <row r="173" spans="1:6" x14ac:dyDescent="0.35">
      <c r="A173" s="1" t="s">
        <v>889</v>
      </c>
      <c r="B173">
        <v>30</v>
      </c>
      <c r="C173" t="s">
        <v>903</v>
      </c>
      <c r="E173" s="4">
        <f>SUM($F$9:G172)+0.1</f>
        <v>1050.0999999999999</v>
      </c>
      <c r="F173" s="4"/>
    </row>
    <row r="174" spans="1:6" x14ac:dyDescent="0.35">
      <c r="A174" s="1" t="s">
        <v>407</v>
      </c>
      <c r="B174">
        <v>30</v>
      </c>
      <c r="E174" s="4">
        <f>SUM($F$9:G173)+0.1</f>
        <v>1050.0999999999999</v>
      </c>
      <c r="F174" s="4"/>
    </row>
    <row r="175" spans="1:6" x14ac:dyDescent="0.35">
      <c r="A175" s="1" t="s">
        <v>866</v>
      </c>
      <c r="B175">
        <v>30</v>
      </c>
      <c r="E175" s="4">
        <f>SUM($F$9:G174)+0.1</f>
        <v>1050.0999999999999</v>
      </c>
      <c r="F175" s="4"/>
    </row>
    <row r="176" spans="1:6" x14ac:dyDescent="0.35">
      <c r="A176" s="1" t="s">
        <v>700</v>
      </c>
      <c r="B176">
        <v>30</v>
      </c>
      <c r="E176" s="4">
        <f>SUM($F$9:G175)+0.1</f>
        <v>1050.0999999999999</v>
      </c>
      <c r="F176" s="4"/>
    </row>
    <row r="177" spans="1:6" x14ac:dyDescent="0.35">
      <c r="A177" s="1" t="s">
        <v>408</v>
      </c>
      <c r="B177">
        <v>30</v>
      </c>
      <c r="E177" s="4">
        <f>SUM($F$9:G176)+0.1</f>
        <v>1050.0999999999999</v>
      </c>
      <c r="F177" s="4"/>
    </row>
    <row r="178" spans="1:6" x14ac:dyDescent="0.35">
      <c r="A178" s="1" t="s">
        <v>623</v>
      </c>
      <c r="B178">
        <v>30</v>
      </c>
      <c r="E178" s="4">
        <f>SUM($F$9:G177)+0.1</f>
        <v>1050.0999999999999</v>
      </c>
      <c r="F178" s="4"/>
    </row>
    <row r="179" spans="1:6" x14ac:dyDescent="0.35">
      <c r="A179" s="1" t="s">
        <v>702</v>
      </c>
      <c r="B179">
        <v>30</v>
      </c>
      <c r="C179" t="s">
        <v>903</v>
      </c>
      <c r="E179" s="4">
        <f>SUM($F$9:G178)+0.1</f>
        <v>1050.0999999999999</v>
      </c>
      <c r="F179" s="4">
        <v>5</v>
      </c>
    </row>
    <row r="180" spans="1:6" x14ac:dyDescent="0.35">
      <c r="A180" s="1" t="s">
        <v>524</v>
      </c>
      <c r="B180">
        <v>30</v>
      </c>
      <c r="D180" t="s">
        <v>472</v>
      </c>
      <c r="E180" s="4">
        <f>SUM($F$9:G179)+0.1</f>
        <v>1055.0999999999999</v>
      </c>
      <c r="F180" s="4"/>
    </row>
    <row r="181" spans="1:6" x14ac:dyDescent="0.35">
      <c r="A181" s="1" t="s">
        <v>334</v>
      </c>
      <c r="B181">
        <v>30</v>
      </c>
      <c r="E181" s="4">
        <f>SUM($F$9:G180)+0.1</f>
        <v>1055.0999999999999</v>
      </c>
      <c r="F181" s="4"/>
    </row>
    <row r="182" spans="1:6" x14ac:dyDescent="0.35">
      <c r="A182" s="13" t="s">
        <v>85</v>
      </c>
      <c r="B182">
        <v>30</v>
      </c>
      <c r="E182" s="4">
        <f>SUM($F$9:G181)+0.1</f>
        <v>1055.0999999999999</v>
      </c>
      <c r="F182" s="4"/>
    </row>
    <row r="183" spans="1:6" x14ac:dyDescent="0.35">
      <c r="A183" s="1" t="s">
        <v>624</v>
      </c>
      <c r="B183">
        <v>30</v>
      </c>
      <c r="E183" s="4">
        <f>SUM($F$9:G182)+0.1</f>
        <v>1055.0999999999999</v>
      </c>
      <c r="F183" s="4"/>
    </row>
    <row r="184" spans="1:6" x14ac:dyDescent="0.35">
      <c r="A184" s="1" t="s">
        <v>525</v>
      </c>
      <c r="B184">
        <v>30</v>
      </c>
      <c r="E184" s="4">
        <f>SUM($F$9:G183)+0.1</f>
        <v>1055.0999999999999</v>
      </c>
      <c r="F184" s="4"/>
    </row>
    <row r="185" spans="1:6" x14ac:dyDescent="0.35">
      <c r="A185" s="1" t="s">
        <v>336</v>
      </c>
      <c r="B185">
        <v>30</v>
      </c>
      <c r="C185" t="s">
        <v>903</v>
      </c>
      <c r="E185" s="4">
        <f>SUM($F$9:G184)+0.1</f>
        <v>1055.0999999999999</v>
      </c>
      <c r="F185" s="4"/>
    </row>
    <row r="186" spans="1:6" x14ac:dyDescent="0.35">
      <c r="A186" s="1" t="s">
        <v>625</v>
      </c>
      <c r="B186">
        <v>30</v>
      </c>
      <c r="E186" s="4">
        <f>SUM($F$9:G185)+0.1</f>
        <v>1055.0999999999999</v>
      </c>
      <c r="F186" s="4"/>
    </row>
    <row r="187" spans="1:6" x14ac:dyDescent="0.35">
      <c r="A187" s="1" t="s">
        <v>812</v>
      </c>
      <c r="B187">
        <v>30</v>
      </c>
      <c r="E187" s="4">
        <f>SUM($F$9:G186)+0.1</f>
        <v>1055.0999999999999</v>
      </c>
      <c r="F187" s="4"/>
    </row>
    <row r="188" spans="1:6" x14ac:dyDescent="0.35">
      <c r="A188" s="1" t="s">
        <v>528</v>
      </c>
      <c r="B188">
        <v>30</v>
      </c>
      <c r="E188" s="4">
        <f>SUM($F$9:G187)+0.1</f>
        <v>1055.0999999999999</v>
      </c>
      <c r="F188" s="4">
        <v>40</v>
      </c>
    </row>
    <row r="189" spans="1:6" x14ac:dyDescent="0.35">
      <c r="A189" s="1" t="s">
        <v>704</v>
      </c>
      <c r="B189">
        <v>30</v>
      </c>
      <c r="C189" t="s">
        <v>903</v>
      </c>
      <c r="E189" s="4">
        <f>SUM($F$9:G188)+0.1</f>
        <v>1095.0999999999999</v>
      </c>
      <c r="F189" s="4"/>
    </row>
    <row r="190" spans="1:6" x14ac:dyDescent="0.35">
      <c r="A190" s="1" t="s">
        <v>157</v>
      </c>
      <c r="B190">
        <v>30</v>
      </c>
      <c r="E190" s="4">
        <f>SUM($F$9:G189)+0.1</f>
        <v>1095.0999999999999</v>
      </c>
      <c r="F190" s="4"/>
    </row>
    <row r="191" spans="1:6" x14ac:dyDescent="0.35">
      <c r="A191" s="1" t="s">
        <v>1897</v>
      </c>
      <c r="E191" s="4">
        <f>SUM($F$9:G190)+0.1</f>
        <v>1095.0999999999999</v>
      </c>
      <c r="F191" s="4">
        <v>5</v>
      </c>
    </row>
    <row r="192" spans="1:6" x14ac:dyDescent="0.35">
      <c r="A192" s="1" t="s">
        <v>339</v>
      </c>
      <c r="B192">
        <v>30</v>
      </c>
      <c r="E192" s="4">
        <f>SUM($F$9:G191)+0.1</f>
        <v>1100.0999999999999</v>
      </c>
      <c r="F192" s="4"/>
    </row>
    <row r="193" spans="1:6" x14ac:dyDescent="0.35">
      <c r="A193" s="1" t="s">
        <v>529</v>
      </c>
      <c r="B193">
        <v>30</v>
      </c>
      <c r="E193" s="4">
        <f>SUM($F$9:G192)+0.1</f>
        <v>1100.0999999999999</v>
      </c>
      <c r="F193" s="4">
        <v>30</v>
      </c>
    </row>
    <row r="194" spans="1:6" x14ac:dyDescent="0.35">
      <c r="A194" s="1" t="s">
        <v>340</v>
      </c>
      <c r="B194">
        <v>30</v>
      </c>
      <c r="E194" s="4">
        <f>SUM($F$9:G193)+0.1</f>
        <v>1130.0999999999999</v>
      </c>
      <c r="F194" s="4"/>
    </row>
    <row r="195" spans="1:6" x14ac:dyDescent="0.35">
      <c r="A195" s="1" t="s">
        <v>867</v>
      </c>
      <c r="B195">
        <v>30</v>
      </c>
      <c r="E195" s="4">
        <f>SUM($F$9:G194)+0.1</f>
        <v>1130.0999999999999</v>
      </c>
      <c r="F195" s="4"/>
    </row>
    <row r="196" spans="1:6" x14ac:dyDescent="0.35">
      <c r="A196" s="13" t="s">
        <v>89</v>
      </c>
      <c r="B196">
        <v>30</v>
      </c>
      <c r="C196" t="s">
        <v>903</v>
      </c>
      <c r="E196" s="4">
        <f>SUM($F$9:G195)+0.1</f>
        <v>1130.0999999999999</v>
      </c>
      <c r="F196" s="4"/>
    </row>
    <row r="197" spans="1:6" x14ac:dyDescent="0.35">
      <c r="A197" s="1" t="s">
        <v>343</v>
      </c>
      <c r="B197">
        <v>30</v>
      </c>
      <c r="C197" t="s">
        <v>903</v>
      </c>
      <c r="E197" s="4">
        <f>SUM($F$9:G196)+0.1</f>
        <v>1130.0999999999999</v>
      </c>
      <c r="F197" s="4"/>
    </row>
    <row r="198" spans="1:6" x14ac:dyDescent="0.35">
      <c r="A198" s="1" t="s">
        <v>531</v>
      </c>
      <c r="B198">
        <v>30</v>
      </c>
      <c r="E198" s="4">
        <f>SUM($F$9:G197)+0.1</f>
        <v>1130.0999999999999</v>
      </c>
      <c r="F198" s="4">
        <v>25</v>
      </c>
    </row>
    <row r="199" spans="1:6" x14ac:dyDescent="0.35">
      <c r="A199" s="1" t="s">
        <v>665</v>
      </c>
      <c r="B199">
        <v>30</v>
      </c>
      <c r="E199" s="4">
        <f>SUM($F$9:G198)+0.1</f>
        <v>1155.0999999999999</v>
      </c>
      <c r="F199" s="4"/>
    </row>
    <row r="200" spans="1:6" x14ac:dyDescent="0.35">
      <c r="A200" s="1" t="s">
        <v>347</v>
      </c>
      <c r="B200">
        <v>30</v>
      </c>
      <c r="C200" t="s">
        <v>903</v>
      </c>
      <c r="E200" s="4">
        <f>SUM($F$9:G199)+0.1</f>
        <v>1155.0999999999999</v>
      </c>
      <c r="F200" s="4"/>
    </row>
    <row r="201" spans="1:6" x14ac:dyDescent="0.35">
      <c r="A201" s="1" t="s">
        <v>1906</v>
      </c>
      <c r="E201" s="4">
        <f>SUM($F$9:G200)+0.1</f>
        <v>1155.0999999999999</v>
      </c>
      <c r="F201" s="4">
        <v>10</v>
      </c>
    </row>
    <row r="202" spans="1:6" x14ac:dyDescent="0.35">
      <c r="A202" s="1" t="s">
        <v>209</v>
      </c>
      <c r="B202">
        <v>30</v>
      </c>
      <c r="C202" t="s">
        <v>901</v>
      </c>
      <c r="E202" s="4">
        <f>SUM($F$9:G201)+0.1</f>
        <v>1165.0999999999999</v>
      </c>
      <c r="F202" s="4"/>
    </row>
    <row r="203" spans="1:6" x14ac:dyDescent="0.35">
      <c r="A203" s="1" t="s">
        <v>348</v>
      </c>
      <c r="B203">
        <v>30</v>
      </c>
      <c r="E203" s="4">
        <f>SUM($F$9:G202)+0.1</f>
        <v>1165.0999999999999</v>
      </c>
      <c r="F203" s="4"/>
    </row>
    <row r="204" spans="1:6" x14ac:dyDescent="0.35">
      <c r="A204" s="1" t="s">
        <v>532</v>
      </c>
      <c r="B204">
        <v>30</v>
      </c>
      <c r="E204" s="4">
        <f>SUM($F$9:G203)+0.1</f>
        <v>1165.0999999999999</v>
      </c>
      <c r="F204" s="4"/>
    </row>
    <row r="205" spans="1:6" x14ac:dyDescent="0.35">
      <c r="A205" s="1" t="s">
        <v>749</v>
      </c>
      <c r="B205">
        <v>30</v>
      </c>
      <c r="E205" s="4">
        <f>SUM($F$9:G204)+0.1</f>
        <v>1165.0999999999999</v>
      </c>
      <c r="F205" s="4">
        <v>5</v>
      </c>
    </row>
    <row r="206" spans="1:6" x14ac:dyDescent="0.35">
      <c r="A206" s="1" t="s">
        <v>708</v>
      </c>
      <c r="B206">
        <v>30</v>
      </c>
      <c r="E206" s="4">
        <f>SUM($F$9:G205)+0.1</f>
        <v>1170.0999999999999</v>
      </c>
      <c r="F206" s="4"/>
    </row>
    <row r="207" spans="1:6" x14ac:dyDescent="0.35">
      <c r="A207" s="1" t="s">
        <v>1900</v>
      </c>
      <c r="E207" s="4">
        <f>SUM($F$9:G206)+0.1</f>
        <v>1170.0999999999999</v>
      </c>
      <c r="F207" s="4"/>
    </row>
    <row r="208" spans="1:6" x14ac:dyDescent="0.35">
      <c r="A208" s="1" t="s">
        <v>100</v>
      </c>
      <c r="B208">
        <v>30</v>
      </c>
      <c r="E208" s="4">
        <f>SUM($F$9:G207)+0.1</f>
        <v>1170.0999999999999</v>
      </c>
      <c r="F208" s="4">
        <v>15</v>
      </c>
    </row>
    <row r="209" spans="1:6" x14ac:dyDescent="0.35">
      <c r="A209" s="1" t="s">
        <v>354</v>
      </c>
      <c r="B209">
        <v>30</v>
      </c>
      <c r="C209" t="s">
        <v>903</v>
      </c>
      <c r="E209" s="4">
        <f>SUM($F$9:G208)+0.1</f>
        <v>1185.0999999999999</v>
      </c>
      <c r="F209" s="4"/>
    </row>
    <row r="210" spans="1:6" x14ac:dyDescent="0.35">
      <c r="A210" s="1" t="s">
        <v>536</v>
      </c>
      <c r="B210">
        <v>30</v>
      </c>
      <c r="E210" s="4">
        <f>SUM($F$9:G209)+0.1</f>
        <v>1185.0999999999999</v>
      </c>
      <c r="F210" s="4">
        <v>5</v>
      </c>
    </row>
    <row r="211" spans="1:6" x14ac:dyDescent="0.35">
      <c r="A211" s="1" t="s">
        <v>413</v>
      </c>
      <c r="B211">
        <v>30</v>
      </c>
      <c r="E211" s="4">
        <f>SUM($F$9:G210)+0.1</f>
        <v>1190.0999999999999</v>
      </c>
      <c r="F211" s="4"/>
    </row>
    <row r="212" spans="1:6" x14ac:dyDescent="0.35">
      <c r="A212" s="1" t="s">
        <v>631</v>
      </c>
      <c r="B212">
        <v>30</v>
      </c>
      <c r="E212" s="4">
        <f>SUM($F$9:G211)+0.1</f>
        <v>1190.0999999999999</v>
      </c>
      <c r="F212" s="4"/>
    </row>
    <row r="213" spans="1:6" x14ac:dyDescent="0.35">
      <c r="A213" s="1" t="s">
        <v>356</v>
      </c>
      <c r="B213">
        <v>30</v>
      </c>
      <c r="C213" t="s">
        <v>900</v>
      </c>
      <c r="E213" s="4">
        <f>SUM($F$9:G212)+0.1</f>
        <v>1190.0999999999999</v>
      </c>
      <c r="F213" s="4"/>
    </row>
    <row r="214" spans="1:6" x14ac:dyDescent="0.35">
      <c r="A214" s="1" t="s">
        <v>814</v>
      </c>
      <c r="B214">
        <v>30</v>
      </c>
      <c r="E214" s="4">
        <f>SUM($F$9:G213)+0.1</f>
        <v>1190.0999999999999</v>
      </c>
      <c r="F214" s="4"/>
    </row>
    <row r="215" spans="1:6" x14ac:dyDescent="0.35">
      <c r="A215" s="1" t="s">
        <v>815</v>
      </c>
      <c r="B215">
        <v>30</v>
      </c>
      <c r="E215" s="4">
        <f>SUM($F$9:G214)+0.1</f>
        <v>1190.0999999999999</v>
      </c>
      <c r="F215" s="4"/>
    </row>
    <row r="216" spans="1:6" x14ac:dyDescent="0.35">
      <c r="A216" s="1" t="s">
        <v>103</v>
      </c>
      <c r="B216">
        <v>30</v>
      </c>
      <c r="E216" s="4">
        <f>SUM($F$9:G215)+0.1</f>
        <v>1190.0999999999999</v>
      </c>
      <c r="F216" s="4"/>
    </row>
    <row r="217" spans="1:6" x14ac:dyDescent="0.35">
      <c r="A217" s="1" t="s">
        <v>1874</v>
      </c>
      <c r="E217" s="4">
        <f>SUM($F$9:G216)+0.1</f>
        <v>1190.0999999999999</v>
      </c>
      <c r="F217" s="4">
        <v>20</v>
      </c>
    </row>
    <row r="218" spans="1:6" x14ac:dyDescent="0.35">
      <c r="A218" s="1" t="s">
        <v>538</v>
      </c>
      <c r="B218">
        <v>30</v>
      </c>
      <c r="E218" s="4">
        <f>SUM($F$9:G217)+0.1</f>
        <v>1210.0999999999999</v>
      </c>
      <c r="F218" s="4"/>
    </row>
    <row r="219" spans="1:6" x14ac:dyDescent="0.35">
      <c r="A219" s="1" t="s">
        <v>537</v>
      </c>
      <c r="B219">
        <v>30</v>
      </c>
      <c r="E219" s="4">
        <f>SUM($F$9:G218)+0.1</f>
        <v>1210.0999999999999</v>
      </c>
      <c r="F219" s="4"/>
    </row>
    <row r="220" spans="1:6" x14ac:dyDescent="0.35">
      <c r="A220" s="1" t="s">
        <v>361</v>
      </c>
      <c r="B220">
        <v>30</v>
      </c>
      <c r="E220" s="4">
        <f>SUM($F$9:G219)+0.1</f>
        <v>1210.0999999999999</v>
      </c>
      <c r="F220" s="4"/>
    </row>
    <row r="221" spans="1:6" x14ac:dyDescent="0.35">
      <c r="A221" s="1" t="s">
        <v>539</v>
      </c>
      <c r="B221">
        <v>30</v>
      </c>
      <c r="E221" s="4">
        <f>SUM($F$9:G220)+0.1</f>
        <v>1210.0999999999999</v>
      </c>
      <c r="F221" s="4"/>
    </row>
    <row r="222" spans="1:6" x14ac:dyDescent="0.35">
      <c r="A222" s="13" t="s">
        <v>752</v>
      </c>
      <c r="B222">
        <v>30</v>
      </c>
      <c r="C222" t="s">
        <v>903</v>
      </c>
      <c r="E222" s="4">
        <f>SUM($F$9:G221)+0.1</f>
        <v>1210.0999999999999</v>
      </c>
      <c r="F222" s="4"/>
    </row>
    <row r="223" spans="1:6" x14ac:dyDescent="0.35">
      <c r="A223" s="1" t="s">
        <v>870</v>
      </c>
      <c r="B223">
        <v>30</v>
      </c>
      <c r="E223" s="4">
        <f>SUM($F$9:G222)+0.1</f>
        <v>1210.0999999999999</v>
      </c>
      <c r="F223" s="4"/>
    </row>
    <row r="224" spans="1:6" x14ac:dyDescent="0.35">
      <c r="A224" s="1" t="s">
        <v>108</v>
      </c>
      <c r="B224">
        <v>30</v>
      </c>
      <c r="E224" s="4">
        <f>SUM($F$9:G223)+0.1</f>
        <v>1210.0999999999999</v>
      </c>
      <c r="F224" s="4"/>
    </row>
    <row r="225" spans="1:7" x14ac:dyDescent="0.35">
      <c r="A225" s="1" t="s">
        <v>753</v>
      </c>
      <c r="B225">
        <v>30</v>
      </c>
      <c r="E225" s="4">
        <f>SUM($F$9:G224)+0.1</f>
        <v>1210.0999999999999</v>
      </c>
      <c r="F225" s="4">
        <v>80</v>
      </c>
    </row>
    <row r="226" spans="1:7" x14ac:dyDescent="0.35">
      <c r="A226" s="1" t="s">
        <v>1876</v>
      </c>
      <c r="E226" s="4">
        <f>SUM($F$9:G225)+0.1</f>
        <v>1290.0999999999999</v>
      </c>
      <c r="F226" s="4">
        <v>10</v>
      </c>
    </row>
    <row r="227" spans="1:7" x14ac:dyDescent="0.35">
      <c r="A227" s="1" t="s">
        <v>109</v>
      </c>
      <c r="B227">
        <v>30</v>
      </c>
      <c r="E227" s="4">
        <f>SUM($F$9:G226)+0.1</f>
        <v>1300.0999999999999</v>
      </c>
      <c r="F227" s="4"/>
      <c r="G227">
        <v>50</v>
      </c>
    </row>
    <row r="228" spans="1:7" x14ac:dyDescent="0.35">
      <c r="A228" s="1" t="s">
        <v>715</v>
      </c>
      <c r="B228">
        <v>30</v>
      </c>
      <c r="C228" t="s">
        <v>903</v>
      </c>
      <c r="E228" s="4">
        <f>SUM($F$9:G227)+0.1</f>
        <v>1350.1</v>
      </c>
      <c r="F228" s="4"/>
    </row>
    <row r="229" spans="1:7" x14ac:dyDescent="0.35">
      <c r="A229" s="12" t="s">
        <v>1905</v>
      </c>
      <c r="E229" s="4">
        <f>SUM($F$9:G228)+0.1</f>
        <v>1350.1</v>
      </c>
      <c r="F229" s="4"/>
    </row>
    <row r="230" spans="1:7" x14ac:dyDescent="0.35">
      <c r="A230" s="1" t="s">
        <v>861</v>
      </c>
      <c r="B230">
        <v>30</v>
      </c>
      <c r="E230" s="4">
        <f>SUM($F$9:G229)+0.1</f>
        <v>1350.1</v>
      </c>
      <c r="F230" s="4"/>
    </row>
    <row r="231" spans="1:7" x14ac:dyDescent="0.35">
      <c r="A231" s="1" t="s">
        <v>541</v>
      </c>
      <c r="B231">
        <v>30</v>
      </c>
      <c r="E231" s="4">
        <f>SUM($F$9:G230)+0.1</f>
        <v>1350.1</v>
      </c>
      <c r="F231" s="4"/>
    </row>
    <row r="232" spans="1:7" x14ac:dyDescent="0.35">
      <c r="A232" s="1" t="s">
        <v>369</v>
      </c>
      <c r="B232">
        <v>30</v>
      </c>
      <c r="E232" s="4">
        <f>SUM($F$9:G231)+0.1</f>
        <v>1350.1</v>
      </c>
      <c r="F232" s="4"/>
    </row>
    <row r="233" spans="1:7" x14ac:dyDescent="0.35">
      <c r="A233" s="1" t="s">
        <v>111</v>
      </c>
      <c r="B233">
        <v>30</v>
      </c>
      <c r="E233" s="4">
        <f>SUM($F$9:G232)+0.1</f>
        <v>1350.1</v>
      </c>
      <c r="F233" s="4">
        <v>50</v>
      </c>
      <c r="G233">
        <v>300</v>
      </c>
    </row>
    <row r="234" spans="1:7" x14ac:dyDescent="0.35">
      <c r="A234" s="1" t="s">
        <v>817</v>
      </c>
      <c r="B234">
        <v>30</v>
      </c>
      <c r="E234" s="4">
        <f>SUM($F$9:G233)+0.1</f>
        <v>1700.1</v>
      </c>
      <c r="F234" s="4"/>
    </row>
    <row r="235" spans="1:7" x14ac:dyDescent="0.35">
      <c r="A235" s="1" t="s">
        <v>112</v>
      </c>
      <c r="B235">
        <v>30</v>
      </c>
      <c r="E235" s="4">
        <f>SUM($F$9:G234)+0.1</f>
        <v>1700.1</v>
      </c>
      <c r="F235" s="4"/>
    </row>
    <row r="236" spans="1:7" x14ac:dyDescent="0.35">
      <c r="A236" s="1" t="s">
        <v>716</v>
      </c>
      <c r="B236">
        <v>30</v>
      </c>
      <c r="E236" s="4">
        <f>SUM($F$9:G235)+0.1</f>
        <v>1700.1</v>
      </c>
      <c r="F236" s="4"/>
    </row>
    <row r="237" spans="1:7" x14ac:dyDescent="0.35">
      <c r="A237" s="1" t="s">
        <v>372</v>
      </c>
      <c r="B237">
        <v>30</v>
      </c>
      <c r="C237" t="s">
        <v>900</v>
      </c>
      <c r="E237" s="4">
        <f>SUM($F$9:G236)+0.1</f>
        <v>1700.1</v>
      </c>
      <c r="F237" s="4"/>
    </row>
    <row r="238" spans="1:7" x14ac:dyDescent="0.35">
      <c r="A238" s="1" t="s">
        <v>820</v>
      </c>
      <c r="B238">
        <v>30</v>
      </c>
      <c r="E238" s="4">
        <f>SUM($F$9:G237)+0.1</f>
        <v>1700.1</v>
      </c>
      <c r="F238" s="4"/>
    </row>
    <row r="239" spans="1:7" x14ac:dyDescent="0.35">
      <c r="A239" s="1" t="s">
        <v>546</v>
      </c>
      <c r="B239">
        <v>30</v>
      </c>
      <c r="E239" s="4">
        <f>SUM($F$9:G238)+0.1</f>
        <v>1700.1</v>
      </c>
      <c r="F239" s="4"/>
    </row>
    <row r="240" spans="1:7" x14ac:dyDescent="0.35">
      <c r="A240" s="1" t="s">
        <v>374</v>
      </c>
      <c r="B240">
        <v>30</v>
      </c>
      <c r="E240" s="4">
        <f>SUM($F$9:G239)+0.1</f>
        <v>1700.1</v>
      </c>
      <c r="F240" s="4"/>
    </row>
    <row r="241" spans="1:6" x14ac:dyDescent="0.35">
      <c r="A241" s="1" t="s">
        <v>755</v>
      </c>
      <c r="B241">
        <v>30</v>
      </c>
      <c r="E241" s="4">
        <f>SUM($F$9:G240)+0.1</f>
        <v>1700.1</v>
      </c>
      <c r="F241" s="4"/>
    </row>
    <row r="242" spans="1:6" x14ac:dyDescent="0.35">
      <c r="A242" s="1" t="s">
        <v>547</v>
      </c>
      <c r="B242">
        <v>30</v>
      </c>
      <c r="E242" s="4">
        <f>SUM($F$9:G241)+0.1</f>
        <v>1700.1</v>
      </c>
      <c r="F242" s="4"/>
    </row>
    <row r="243" spans="1:6" x14ac:dyDescent="0.35">
      <c r="A243" s="13" t="s">
        <v>823</v>
      </c>
      <c r="B243">
        <v>30</v>
      </c>
      <c r="E243" s="4">
        <f>SUM($F$9:G242)+0.1</f>
        <v>1700.1</v>
      </c>
      <c r="F243" s="4"/>
    </row>
    <row r="244" spans="1:6" x14ac:dyDescent="0.35">
      <c r="A244" s="1" t="s">
        <v>548</v>
      </c>
      <c r="B244">
        <v>30</v>
      </c>
      <c r="E244" s="4">
        <f>SUM($F$9:G243)+0.1</f>
        <v>1700.1</v>
      </c>
      <c r="F244" s="4"/>
    </row>
    <row r="245" spans="1:6" x14ac:dyDescent="0.35">
      <c r="A245" s="1" t="s">
        <v>718</v>
      </c>
      <c r="B245">
        <v>30</v>
      </c>
      <c r="E245" s="4">
        <f>SUM($F$9:G244)+0.1</f>
        <v>1700.1</v>
      </c>
      <c r="F245" s="4"/>
    </row>
    <row r="246" spans="1:6" x14ac:dyDescent="0.35">
      <c r="A246" s="1" t="s">
        <v>377</v>
      </c>
      <c r="B246">
        <v>30</v>
      </c>
      <c r="E246" s="4">
        <f>SUM($F$9:G245)+0.1</f>
        <v>1700.1</v>
      </c>
      <c r="F246" s="4"/>
    </row>
    <row r="247" spans="1:6" x14ac:dyDescent="0.35">
      <c r="A247" s="1" t="s">
        <v>640</v>
      </c>
      <c r="B247">
        <v>30</v>
      </c>
      <c r="E247" s="4">
        <f>SUM($F$9:G246)+0.1</f>
        <v>1700.1</v>
      </c>
      <c r="F247" s="4"/>
    </row>
    <row r="248" spans="1:6" x14ac:dyDescent="0.35">
      <c r="A248" s="1" t="s">
        <v>124</v>
      </c>
      <c r="B248">
        <v>30</v>
      </c>
      <c r="E248" s="4">
        <f>SUM($F$9:G247)+0.1</f>
        <v>1700.1</v>
      </c>
      <c r="F248" s="4"/>
    </row>
    <row r="249" spans="1:6" x14ac:dyDescent="0.35">
      <c r="A249" s="1" t="s">
        <v>721</v>
      </c>
      <c r="B249">
        <v>30</v>
      </c>
      <c r="E249" s="4">
        <f>SUM($F$9:G248)+0.1</f>
        <v>1700.1</v>
      </c>
      <c r="F249" s="4"/>
    </row>
    <row r="250" spans="1:6" x14ac:dyDescent="0.35">
      <c r="A250" s="1" t="s">
        <v>380</v>
      </c>
      <c r="B250">
        <v>30</v>
      </c>
      <c r="E250" s="4">
        <f>SUM($F$9:G249)+0.1</f>
        <v>1700.1</v>
      </c>
      <c r="F250" s="4"/>
    </row>
    <row r="251" spans="1:6" x14ac:dyDescent="0.35">
      <c r="A251" s="1" t="s">
        <v>883</v>
      </c>
      <c r="B251">
        <v>30</v>
      </c>
      <c r="E251" s="4">
        <f>SUM($F$9:G250)+0.1</f>
        <v>1700.1</v>
      </c>
      <c r="F251" s="4"/>
    </row>
    <row r="252" spans="1:6" x14ac:dyDescent="0.35">
      <c r="A252" s="1" t="s">
        <v>554</v>
      </c>
      <c r="B252">
        <v>30</v>
      </c>
      <c r="E252" s="4">
        <f>SUM($F$9:G251)+0.1</f>
        <v>1700.1</v>
      </c>
      <c r="F252" s="4"/>
    </row>
    <row r="253" spans="1:6" x14ac:dyDescent="0.35">
      <c r="A253" s="1" t="s">
        <v>164</v>
      </c>
      <c r="B253">
        <v>30</v>
      </c>
      <c r="E253" s="4">
        <f>SUM($F$9:G252)+0.1</f>
        <v>1700.1</v>
      </c>
      <c r="F253" s="4"/>
    </row>
    <row r="254" spans="1:6" x14ac:dyDescent="0.35">
      <c r="A254" s="1" t="s">
        <v>128</v>
      </c>
      <c r="B254">
        <v>30</v>
      </c>
      <c r="E254" s="4">
        <f>SUM($F$9:G253)+0.1</f>
        <v>1700.1</v>
      </c>
      <c r="F254" s="4">
        <v>20</v>
      </c>
    </row>
    <row r="255" spans="1:6" x14ac:dyDescent="0.35">
      <c r="A255" s="1" t="s">
        <v>1843</v>
      </c>
      <c r="E255" s="4">
        <f>SUM($F$9:G254)+0.1</f>
        <v>1720.1</v>
      </c>
      <c r="F255" s="4">
        <v>5</v>
      </c>
    </row>
    <row r="256" spans="1:6" x14ac:dyDescent="0.35">
      <c r="A256" s="1" t="s">
        <v>384</v>
      </c>
      <c r="B256">
        <v>30</v>
      </c>
      <c r="E256" s="4">
        <f>SUM($F$9:G255)+0.1</f>
        <v>1725.1</v>
      </c>
      <c r="F256" s="4"/>
    </row>
    <row r="257" spans="1:6" x14ac:dyDescent="0.35">
      <c r="A257" s="1" t="s">
        <v>130</v>
      </c>
      <c r="B257">
        <v>30</v>
      </c>
      <c r="E257" s="4">
        <f>SUM($F$9:G256)+0.1</f>
        <v>1725.1</v>
      </c>
      <c r="F257" s="4">
        <v>5</v>
      </c>
    </row>
    <row r="258" spans="1:6" x14ac:dyDescent="0.35">
      <c r="A258" s="1" t="s">
        <v>863</v>
      </c>
      <c r="B258">
        <v>30</v>
      </c>
      <c r="D258" t="s">
        <v>902</v>
      </c>
      <c r="E258" s="4">
        <f>SUM($F$9:G257)+0.1</f>
        <v>1730.1</v>
      </c>
      <c r="F258" s="4"/>
    </row>
    <row r="259" spans="1:6" x14ac:dyDescent="0.35">
      <c r="A259" s="1" t="s">
        <v>132</v>
      </c>
      <c r="B259">
        <v>30</v>
      </c>
      <c r="E259" s="4">
        <f>SUM($F$9:G258)+0.1</f>
        <v>1730.1</v>
      </c>
      <c r="F259" s="4"/>
    </row>
    <row r="260" spans="1:6" x14ac:dyDescent="0.35">
      <c r="A260" s="1" t="s">
        <v>385</v>
      </c>
      <c r="B260">
        <v>30</v>
      </c>
      <c r="D260" t="s">
        <v>917</v>
      </c>
      <c r="E260" s="4">
        <f>SUM($F$9:G259)+0.1</f>
        <v>1730.1</v>
      </c>
      <c r="F260" s="4"/>
    </row>
    <row r="261" spans="1:6" x14ac:dyDescent="0.35">
      <c r="A261" s="1" t="s">
        <v>725</v>
      </c>
      <c r="B261">
        <v>30</v>
      </c>
      <c r="C261" t="s">
        <v>903</v>
      </c>
      <c r="E261" s="4">
        <f>SUM($F$9:G260)+0.1</f>
        <v>1730.1</v>
      </c>
      <c r="F261" s="4"/>
    </row>
    <row r="262" spans="1:6" x14ac:dyDescent="0.35">
      <c r="A262" s="1" t="s">
        <v>133</v>
      </c>
      <c r="B262">
        <v>30</v>
      </c>
      <c r="E262" s="4">
        <f>SUM($F$9:G261)+0.1</f>
        <v>1730.1</v>
      </c>
      <c r="F262" s="4"/>
    </row>
    <row r="263" spans="1:6" x14ac:dyDescent="0.35">
      <c r="A263" s="1" t="s">
        <v>649</v>
      </c>
      <c r="B263">
        <v>30</v>
      </c>
      <c r="E263" s="4">
        <f>SUM($F$9:G262)+0.1</f>
        <v>1730.1</v>
      </c>
      <c r="F263" s="4"/>
    </row>
    <row r="264" spans="1:6" x14ac:dyDescent="0.35">
      <c r="A264" s="1" t="s">
        <v>766</v>
      </c>
      <c r="B264">
        <v>30</v>
      </c>
      <c r="E264" s="4">
        <f>SUM($F$9:G263)+0.1</f>
        <v>1730.1</v>
      </c>
      <c r="F264" s="4"/>
    </row>
    <row r="265" spans="1:6" x14ac:dyDescent="0.35">
      <c r="A265" s="1" t="s">
        <v>163</v>
      </c>
      <c r="B265">
        <v>30</v>
      </c>
      <c r="E265" s="4">
        <f>SUM($F$9:G264)+0.1</f>
        <v>1730.1</v>
      </c>
      <c r="F265" s="4"/>
    </row>
    <row r="266" spans="1:6" x14ac:dyDescent="0.35">
      <c r="A266" s="1" t="s">
        <v>480</v>
      </c>
      <c r="B266">
        <v>30</v>
      </c>
      <c r="E266" s="4">
        <f>SUM($F$9:G265)+0.1</f>
        <v>1730.1</v>
      </c>
      <c r="F266" s="4"/>
    </row>
    <row r="267" spans="1:6" x14ac:dyDescent="0.35">
      <c r="A267" s="1" t="s">
        <v>137</v>
      </c>
      <c r="B267">
        <v>30</v>
      </c>
      <c r="E267" s="4">
        <f>SUM($F$9:G266)+0.1</f>
        <v>1730.1</v>
      </c>
      <c r="F267" s="4"/>
    </row>
    <row r="268" spans="1:6" x14ac:dyDescent="0.35">
      <c r="A268" s="1" t="s">
        <v>433</v>
      </c>
      <c r="B268">
        <v>30</v>
      </c>
      <c r="E268" s="4">
        <f>SUM($F$9:G267)+0.1</f>
        <v>1730.1</v>
      </c>
      <c r="F268" s="4"/>
    </row>
    <row r="269" spans="1:6" x14ac:dyDescent="0.35">
      <c r="A269" s="1" t="s">
        <v>657</v>
      </c>
      <c r="B269">
        <v>30</v>
      </c>
      <c r="E269" s="4">
        <f>SUM($F$9:G268)+0.1</f>
        <v>1730.1</v>
      </c>
      <c r="F269" s="4"/>
    </row>
    <row r="270" spans="1:6" x14ac:dyDescent="0.35">
      <c r="A270" s="1" t="s">
        <v>436</v>
      </c>
      <c r="B270">
        <v>30</v>
      </c>
      <c r="E270" s="4">
        <f>SUM($F$9:G269)+0.1</f>
        <v>1730.1</v>
      </c>
      <c r="F270" s="4"/>
    </row>
    <row r="271" spans="1:6" x14ac:dyDescent="0.35">
      <c r="A271" s="1" t="s">
        <v>839</v>
      </c>
      <c r="B271">
        <v>30</v>
      </c>
      <c r="E271" s="4">
        <f>SUM($F$9:G270)+0.1</f>
        <v>1730.1</v>
      </c>
      <c r="F271" s="4"/>
    </row>
    <row r="272" spans="1:6" x14ac:dyDescent="0.35">
      <c r="A272" s="1" t="s">
        <v>437</v>
      </c>
      <c r="B272">
        <v>30</v>
      </c>
      <c r="C272">
        <v>1</v>
      </c>
      <c r="E272" s="4">
        <f>SUM($F$9:G271)+0.1</f>
        <v>1730.1</v>
      </c>
      <c r="F272" s="4"/>
    </row>
    <row r="273" spans="1:6" x14ac:dyDescent="0.35">
      <c r="A273" s="1" t="s">
        <v>658</v>
      </c>
      <c r="B273">
        <v>30</v>
      </c>
      <c r="E273" s="4">
        <f>SUM($F$9:G272)+0.1</f>
        <v>1730.1</v>
      </c>
      <c r="F273" s="4"/>
    </row>
    <row r="274" spans="1:6" x14ac:dyDescent="0.35">
      <c r="A274" s="1" t="s">
        <v>176</v>
      </c>
      <c r="B274">
        <v>30</v>
      </c>
      <c r="E274" s="4">
        <f>SUM($F$9:G273)+0.1</f>
        <v>1730.1</v>
      </c>
      <c r="F274" s="4"/>
    </row>
    <row r="275" spans="1:6" x14ac:dyDescent="0.35">
      <c r="A275" s="1" t="s">
        <v>442</v>
      </c>
      <c r="B275">
        <v>30</v>
      </c>
      <c r="C275" t="s">
        <v>903</v>
      </c>
      <c r="E275" s="4">
        <f>SUM($F$9:G274)+0.1</f>
        <v>1730.1</v>
      </c>
      <c r="F275" s="4"/>
    </row>
    <row r="276" spans="1:6" x14ac:dyDescent="0.35">
      <c r="A276" s="1" t="s">
        <v>443</v>
      </c>
      <c r="B276">
        <v>30</v>
      </c>
      <c r="D276" t="s">
        <v>704</v>
      </c>
      <c r="E276" s="4">
        <f>SUM($F$9:G275)+0.1</f>
        <v>1730.1</v>
      </c>
      <c r="F276" s="4"/>
    </row>
    <row r="277" spans="1:6" x14ac:dyDescent="0.35">
      <c r="A277" s="1" t="s">
        <v>142</v>
      </c>
      <c r="B277">
        <v>30</v>
      </c>
      <c r="E277" s="4">
        <f>SUM($F$9:G276)+0.1</f>
        <v>1730.1</v>
      </c>
      <c r="F277" s="4"/>
    </row>
    <row r="278" spans="1:6" x14ac:dyDescent="0.35">
      <c r="A278" s="1" t="s">
        <v>905</v>
      </c>
      <c r="B278">
        <v>30</v>
      </c>
      <c r="E278" s="4">
        <f>SUM($F$9:G277)+0.1</f>
        <v>1730.1</v>
      </c>
      <c r="F278" s="4">
        <v>5</v>
      </c>
    </row>
    <row r="279" spans="1:6" x14ac:dyDescent="0.35">
      <c r="A279" s="1" t="s">
        <v>578</v>
      </c>
      <c r="B279">
        <v>30</v>
      </c>
      <c r="E279" s="4">
        <f>SUM($F$9:G278)+0.1</f>
        <v>1735.1</v>
      </c>
      <c r="F279" s="4"/>
    </row>
    <row r="280" spans="1:6" x14ac:dyDescent="0.35">
      <c r="A280" s="1" t="s">
        <v>773</v>
      </c>
      <c r="B280">
        <v>30</v>
      </c>
      <c r="E280" s="4">
        <f>SUM($F$9:G279)+0.1</f>
        <v>1735.1</v>
      </c>
      <c r="F280" s="4"/>
    </row>
    <row r="281" spans="1:6" x14ac:dyDescent="0.35">
      <c r="A281" s="1" t="s">
        <v>448</v>
      </c>
      <c r="B281">
        <v>30</v>
      </c>
      <c r="D281" t="s">
        <v>902</v>
      </c>
      <c r="E281" s="4">
        <f>SUM($F$9:G280)+0.1</f>
        <v>1735.1</v>
      </c>
      <c r="F281" s="4"/>
    </row>
    <row r="282" spans="1:6" x14ac:dyDescent="0.35">
      <c r="A282" s="1" t="s">
        <v>449</v>
      </c>
      <c r="B282">
        <v>30</v>
      </c>
      <c r="D282" t="s">
        <v>902</v>
      </c>
      <c r="E282" s="4">
        <f>SUM($F$9:G281)+0.1</f>
        <v>1735.1</v>
      </c>
      <c r="F282" s="4"/>
    </row>
    <row r="283" spans="1:6" x14ac:dyDescent="0.35">
      <c r="A283" s="1" t="s">
        <v>146</v>
      </c>
      <c r="B283">
        <v>30</v>
      </c>
      <c r="E283" s="4">
        <f>SUM($F$9:G282)+0.1</f>
        <v>1735.1</v>
      </c>
      <c r="F283" s="4">
        <v>25</v>
      </c>
    </row>
    <row r="284" spans="1:6" x14ac:dyDescent="0.35">
      <c r="A284" s="1" t="s">
        <v>452</v>
      </c>
      <c r="B284">
        <v>30</v>
      </c>
      <c r="E284" s="4">
        <f>SUM($F$9:G283)+0.1</f>
        <v>1760.1</v>
      </c>
      <c r="F284" s="4"/>
    </row>
    <row r="285" spans="1:6" x14ac:dyDescent="0.35">
      <c r="A285" s="1" t="s">
        <v>147</v>
      </c>
      <c r="B285">
        <v>30</v>
      </c>
      <c r="C285" t="s">
        <v>903</v>
      </c>
      <c r="E285" s="4">
        <f>SUM($F$9:G284)+0.1</f>
        <v>1760.1</v>
      </c>
      <c r="F285" s="4"/>
    </row>
    <row r="286" spans="1:6" x14ac:dyDescent="0.35">
      <c r="A286" s="1" t="s">
        <v>895</v>
      </c>
      <c r="E286" s="4">
        <f>SUM($F$9:G285)+0.1</f>
        <v>1760.1</v>
      </c>
      <c r="F286" s="4">
        <v>10</v>
      </c>
    </row>
    <row r="287" spans="1:6" x14ac:dyDescent="0.35">
      <c r="A287" s="1" t="s">
        <v>579</v>
      </c>
      <c r="B287">
        <v>30</v>
      </c>
      <c r="E287" s="4">
        <f>SUM($F$9:G286)+0.1</f>
        <v>1770.1</v>
      </c>
      <c r="F287" s="4"/>
    </row>
    <row r="288" spans="1:6" x14ac:dyDescent="0.35">
      <c r="A288" s="1" t="s">
        <v>580</v>
      </c>
      <c r="B288">
        <v>30</v>
      </c>
      <c r="E288" s="4">
        <f>SUM($F$9:G287)+0.1</f>
        <v>1770.1</v>
      </c>
      <c r="F288" s="4"/>
    </row>
    <row r="289" spans="1:6" x14ac:dyDescent="0.35">
      <c r="A289" s="1" t="s">
        <v>896</v>
      </c>
      <c r="B289">
        <v>30</v>
      </c>
      <c r="E289" s="4">
        <f>SUM($F$9:G288)+0.1</f>
        <v>1770.1</v>
      </c>
      <c r="F289" s="4"/>
    </row>
    <row r="290" spans="1:6" x14ac:dyDescent="0.35">
      <c r="A290" s="1" t="s">
        <v>430</v>
      </c>
      <c r="B290">
        <v>30</v>
      </c>
      <c r="C290" t="s">
        <v>901</v>
      </c>
      <c r="E290" s="4">
        <f>SUM($F$9:G289)+0.1</f>
        <v>1770.1</v>
      </c>
      <c r="F290" s="4"/>
    </row>
    <row r="291" spans="1:6" x14ac:dyDescent="0.35">
      <c r="A291" s="12" t="s">
        <v>150</v>
      </c>
      <c r="B291">
        <v>30</v>
      </c>
      <c r="E291" s="4">
        <f>SUM($F$9:G290)+0.1</f>
        <v>1770.1</v>
      </c>
      <c r="F291" s="4"/>
    </row>
    <row r="292" spans="1:6" x14ac:dyDescent="0.35">
      <c r="A292" s="1" t="s">
        <v>456</v>
      </c>
      <c r="B292">
        <v>30</v>
      </c>
      <c r="E292" s="4">
        <f>SUM($F$9:G291)+0.1</f>
        <v>1770.1</v>
      </c>
      <c r="F292" s="4"/>
    </row>
    <row r="293" spans="1:6" x14ac:dyDescent="0.35">
      <c r="A293" s="1" t="s">
        <v>154</v>
      </c>
      <c r="B293">
        <v>30</v>
      </c>
      <c r="E293" s="4">
        <f>SUM($F$9:G292)+0.1</f>
        <v>1770.1</v>
      </c>
      <c r="F293" s="4"/>
    </row>
    <row r="294" spans="1:6" x14ac:dyDescent="0.35">
      <c r="A294" s="1" t="s">
        <v>155</v>
      </c>
      <c r="B294">
        <v>30</v>
      </c>
      <c r="E294" s="4">
        <f>SUM($F$9:G293)+0.1</f>
        <v>1770.1</v>
      </c>
      <c r="F294" s="4"/>
    </row>
    <row r="295" spans="1:6" x14ac:dyDescent="0.35">
      <c r="A295" s="1" t="s">
        <v>1909</v>
      </c>
      <c r="E295" s="4">
        <f>SUM($F$9:G294)+0.1</f>
        <v>1770.1</v>
      </c>
      <c r="F295" s="4">
        <v>30</v>
      </c>
    </row>
    <row r="296" spans="1:6" x14ac:dyDescent="0.35">
      <c r="A296" s="1" t="s">
        <v>660</v>
      </c>
      <c r="B296">
        <v>30</v>
      </c>
      <c r="E296" s="4">
        <f>SUM($F$9:G295)+0.1</f>
        <v>1800.1</v>
      </c>
      <c r="F296" s="4"/>
    </row>
    <row r="297" spans="1:6" x14ac:dyDescent="0.35">
      <c r="E297" s="4">
        <f>SUM($F$9:G296)+0.1</f>
        <v>1800.1</v>
      </c>
      <c r="F297" s="4"/>
    </row>
    <row r="298" spans="1:6" x14ac:dyDescent="0.35">
      <c r="E298" s="4">
        <f>SUM($F$9:G297)+0.1</f>
        <v>1800.1</v>
      </c>
      <c r="F298" s="4"/>
    </row>
    <row r="299" spans="1:6" x14ac:dyDescent="0.35">
      <c r="E299" s="4">
        <f>SUM($F$9:G298)+0.1</f>
        <v>1800.1</v>
      </c>
      <c r="F299" s="4"/>
    </row>
    <row r="300" spans="1:6" x14ac:dyDescent="0.35">
      <c r="E300" s="4">
        <f>SUM($F$9:G299)+0.1</f>
        <v>1800.1</v>
      </c>
      <c r="F300" s="4"/>
    </row>
    <row r="301" spans="1:6" x14ac:dyDescent="0.35">
      <c r="E301" s="4">
        <f>SUM($F$9:G300)+0.1</f>
        <v>1800.1</v>
      </c>
      <c r="F301" s="4"/>
    </row>
    <row r="302" spans="1:6" x14ac:dyDescent="0.35">
      <c r="E302" s="4">
        <f>SUM($F$9:G301)+0.1</f>
        <v>1800.1</v>
      </c>
      <c r="F302" s="4"/>
    </row>
    <row r="303" spans="1:6" x14ac:dyDescent="0.35">
      <c r="E303" s="4">
        <f>SUM($F$9:G302)+0.1</f>
        <v>1800.1</v>
      </c>
      <c r="F303" s="4"/>
    </row>
    <row r="304" spans="1:6" x14ac:dyDescent="0.35">
      <c r="E304" s="4">
        <f>SUM($F$9:G303)+0.1</f>
        <v>1800.1</v>
      </c>
      <c r="F304" s="4"/>
    </row>
    <row r="305" spans="5:6" x14ac:dyDescent="0.35">
      <c r="E305" s="4">
        <f>SUM($F$9:G304)+0.1</f>
        <v>1800.1</v>
      </c>
      <c r="F305" s="4"/>
    </row>
    <row r="306" spans="5:6" x14ac:dyDescent="0.35">
      <c r="E306" s="4">
        <f>SUM($F$9:G305)+0.1</f>
        <v>1800.1</v>
      </c>
      <c r="F306" s="4"/>
    </row>
    <row r="307" spans="5:6" x14ac:dyDescent="0.35">
      <c r="E307" s="4">
        <f>SUM($F$9:G306)+0.1</f>
        <v>1800.1</v>
      </c>
      <c r="F307" s="4"/>
    </row>
    <row r="308" spans="5:6" x14ac:dyDescent="0.35">
      <c r="E308" s="4">
        <f>SUM($F$9:G307)+0.1</f>
        <v>1800.1</v>
      </c>
      <c r="F308" s="4"/>
    </row>
    <row r="309" spans="5:6" x14ac:dyDescent="0.35">
      <c r="E309" s="4">
        <f>SUM($F$9:G308)+0.1</f>
        <v>1800.1</v>
      </c>
      <c r="F309" s="4"/>
    </row>
    <row r="310" spans="5:6" x14ac:dyDescent="0.35">
      <c r="E310" s="4">
        <f>SUM($F$9:G309)+0.1</f>
        <v>1800.1</v>
      </c>
      <c r="F310" s="4"/>
    </row>
    <row r="311" spans="5:6" x14ac:dyDescent="0.35">
      <c r="E311" s="4">
        <f>SUM($F$9:G310)+0.1</f>
        <v>1800.1</v>
      </c>
      <c r="F311" s="4"/>
    </row>
    <row r="312" spans="5:6" x14ac:dyDescent="0.35">
      <c r="E312" s="4">
        <f>SUM($F$9:G311)+0.1</f>
        <v>1800.1</v>
      </c>
      <c r="F312" s="4"/>
    </row>
    <row r="313" spans="5:6" x14ac:dyDescent="0.35">
      <c r="E313" s="4">
        <f>SUM($F$9:G312)+0.1</f>
        <v>1800.1</v>
      </c>
      <c r="F313" s="4"/>
    </row>
    <row r="314" spans="5:6" x14ac:dyDescent="0.35">
      <c r="E314" s="4">
        <f>SUM($F$9:G313)+0.1</f>
        <v>1800.1</v>
      </c>
      <c r="F314" s="4"/>
    </row>
    <row r="315" spans="5:6" x14ac:dyDescent="0.35">
      <c r="E315" s="4">
        <f>SUM($F$9:G314)+0.1</f>
        <v>1800.1</v>
      </c>
      <c r="F315" s="4"/>
    </row>
    <row r="316" spans="5:6" x14ac:dyDescent="0.35">
      <c r="E316" s="4">
        <f>SUM($F$9:G315)+0.1</f>
        <v>1800.1</v>
      </c>
      <c r="F316" s="4"/>
    </row>
    <row r="317" spans="5:6" x14ac:dyDescent="0.35">
      <c r="E317" s="4">
        <f>SUM($F$9:G316)+0.1</f>
        <v>1800.1</v>
      </c>
      <c r="F317" s="4"/>
    </row>
    <row r="318" spans="5:6" x14ac:dyDescent="0.35">
      <c r="E318" s="4">
        <f>SUM($F$9:G317)+0.1</f>
        <v>1800.1</v>
      </c>
      <c r="F318" s="4"/>
    </row>
    <row r="319" spans="5:6" x14ac:dyDescent="0.35">
      <c r="E319" s="4">
        <f>SUM($F$9:G318)+0.1</f>
        <v>1800.1</v>
      </c>
      <c r="F319" s="4"/>
    </row>
    <row r="320" spans="5:6" x14ac:dyDescent="0.35">
      <c r="E320" s="4">
        <f>SUM($F$9:G319)+0.1</f>
        <v>1800.1</v>
      </c>
      <c r="F320" s="4"/>
    </row>
    <row r="321" spans="5:6" x14ac:dyDescent="0.35">
      <c r="E321" s="4">
        <f>SUM($F$9:G320)+0.1</f>
        <v>1800.1</v>
      </c>
      <c r="F321" s="4"/>
    </row>
    <row r="322" spans="5:6" x14ac:dyDescent="0.35">
      <c r="E322" s="4">
        <f>SUM($F$9:G321)+0.1</f>
        <v>1800.1</v>
      </c>
      <c r="F322" s="4"/>
    </row>
    <row r="323" spans="5:6" x14ac:dyDescent="0.35">
      <c r="E323" s="4">
        <f>SUM($F$9:G322)+0.1</f>
        <v>1800.1</v>
      </c>
      <c r="F323" s="4"/>
    </row>
    <row r="324" spans="5:6" x14ac:dyDescent="0.35">
      <c r="E324" s="4">
        <f>SUM($F$9:G323)+0.1</f>
        <v>1800.1</v>
      </c>
      <c r="F324" s="4"/>
    </row>
    <row r="325" spans="5:6" x14ac:dyDescent="0.35">
      <c r="E325" s="4">
        <f>SUM($F$9:G324)+0.1</f>
        <v>1800.1</v>
      </c>
      <c r="F325" s="4"/>
    </row>
    <row r="326" spans="5:6" x14ac:dyDescent="0.35">
      <c r="E326" s="4">
        <f>SUM($F$9:G325)+0.1</f>
        <v>1800.1</v>
      </c>
      <c r="F326" s="4"/>
    </row>
    <row r="327" spans="5:6" x14ac:dyDescent="0.35">
      <c r="E327" s="4">
        <f>SUM($F$9:G326)+0.1</f>
        <v>1800.1</v>
      </c>
      <c r="F327" s="4"/>
    </row>
    <row r="328" spans="5:6" x14ac:dyDescent="0.35">
      <c r="E328" s="4">
        <f>SUM($F$9:G327)+0.1</f>
        <v>1800.1</v>
      </c>
      <c r="F328" s="4"/>
    </row>
    <row r="329" spans="5:6" x14ac:dyDescent="0.35">
      <c r="E329" s="4">
        <f>SUM($F$9:G328)+0.1</f>
        <v>1800.1</v>
      </c>
      <c r="F329" s="4"/>
    </row>
    <row r="330" spans="5:6" x14ac:dyDescent="0.35">
      <c r="E330" s="4">
        <f>SUM($F$9:G329)+0.1</f>
        <v>1800.1</v>
      </c>
      <c r="F330" s="4"/>
    </row>
    <row r="331" spans="5:6" x14ac:dyDescent="0.35">
      <c r="E331" s="4">
        <f>SUM($F$9:G330)+0.1</f>
        <v>1800.1</v>
      </c>
      <c r="F331" s="4"/>
    </row>
    <row r="332" spans="5:6" x14ac:dyDescent="0.35">
      <c r="E332" s="4">
        <f>SUM($F$9:G331)+0.1</f>
        <v>1800.1</v>
      </c>
      <c r="F332" s="4"/>
    </row>
    <row r="333" spans="5:6" x14ac:dyDescent="0.35">
      <c r="E333" s="4">
        <f>SUM($F$9:G332)+0.1</f>
        <v>1800.1</v>
      </c>
      <c r="F333" s="4"/>
    </row>
    <row r="334" spans="5:6" x14ac:dyDescent="0.35">
      <c r="E334" s="4">
        <f>SUM($F$9:G333)+0.1</f>
        <v>1800.1</v>
      </c>
      <c r="F334" s="4"/>
    </row>
    <row r="335" spans="5:6" x14ac:dyDescent="0.35">
      <c r="E335" s="4">
        <f>SUM($F$9:G334)+0.1</f>
        <v>1800.1</v>
      </c>
      <c r="F335" s="4"/>
    </row>
    <row r="336" spans="5:6" x14ac:dyDescent="0.35">
      <c r="E336" s="4">
        <f>SUM($F$9:G335)+0.1</f>
        <v>1800.1</v>
      </c>
      <c r="F336" s="4"/>
    </row>
    <row r="337" spans="5:6" x14ac:dyDescent="0.35">
      <c r="E337" s="4">
        <f>SUM($F$9:G336)+0.1</f>
        <v>1800.1</v>
      </c>
      <c r="F337" s="4"/>
    </row>
    <row r="338" spans="5:6" x14ac:dyDescent="0.35">
      <c r="E338" s="4">
        <f>SUM($F$9:G337)+0.1</f>
        <v>1800.1</v>
      </c>
      <c r="F338" s="4"/>
    </row>
    <row r="339" spans="5:6" x14ac:dyDescent="0.35">
      <c r="E339" s="4">
        <f>SUM($F$9:G338)+0.1</f>
        <v>1800.1</v>
      </c>
      <c r="F339" s="4"/>
    </row>
    <row r="340" spans="5:6" x14ac:dyDescent="0.35">
      <c r="E340" s="4">
        <f>SUM($F$9:G339)+0.1</f>
        <v>1800.1</v>
      </c>
      <c r="F340" s="4"/>
    </row>
    <row r="341" spans="5:6" x14ac:dyDescent="0.35">
      <c r="E341" s="4">
        <f>SUM($F$9:G340)+0.1</f>
        <v>1800.1</v>
      </c>
      <c r="F341" s="4"/>
    </row>
    <row r="342" spans="5:6" x14ac:dyDescent="0.35">
      <c r="E342" s="4">
        <f>SUM($F$9:G341)+0.1</f>
        <v>1800.1</v>
      </c>
      <c r="F342" s="4"/>
    </row>
    <row r="343" spans="5:6" x14ac:dyDescent="0.35">
      <c r="E343" s="4">
        <f>SUM($F$9:G342)+0.1</f>
        <v>1800.1</v>
      </c>
      <c r="F343" s="4"/>
    </row>
    <row r="344" spans="5:6" x14ac:dyDescent="0.35">
      <c r="E344" s="4">
        <f>SUM($F$9:G343)+0.1</f>
        <v>1800.1</v>
      </c>
      <c r="F344" s="4"/>
    </row>
    <row r="345" spans="5:6" x14ac:dyDescent="0.35">
      <c r="E345" s="4">
        <f>SUM($F$9:G344)+0.1</f>
        <v>1800.1</v>
      </c>
      <c r="F345" s="4"/>
    </row>
    <row r="346" spans="5:6" x14ac:dyDescent="0.35">
      <c r="E346" s="4">
        <f>SUM($F$9:G345)+0.1</f>
        <v>1800.1</v>
      </c>
      <c r="F346" s="4"/>
    </row>
    <row r="347" spans="5:6" x14ac:dyDescent="0.35">
      <c r="E347" s="4">
        <f>SUM($F$9:G346)+0.1</f>
        <v>1800.1</v>
      </c>
      <c r="F347" s="4"/>
    </row>
    <row r="348" spans="5:6" x14ac:dyDescent="0.35">
      <c r="E348" s="4">
        <f>SUM($F$9:G347)+0.1</f>
        <v>1800.1</v>
      </c>
      <c r="F348" s="4"/>
    </row>
    <row r="349" spans="5:6" x14ac:dyDescent="0.35">
      <c r="E349" s="4">
        <f>SUM($F$9:G348)+0.1</f>
        <v>1800.1</v>
      </c>
      <c r="F349" s="4"/>
    </row>
    <row r="350" spans="5:6" x14ac:dyDescent="0.35">
      <c r="E350" s="4">
        <f>SUM($F$9:G349)+0.1</f>
        <v>1800.1</v>
      </c>
      <c r="F350" s="4"/>
    </row>
    <row r="351" spans="5:6" x14ac:dyDescent="0.35">
      <c r="E351" s="4">
        <f>SUM($F$9:G350)+0.1</f>
        <v>1800.1</v>
      </c>
      <c r="F351" s="4"/>
    </row>
    <row r="352" spans="5:6" x14ac:dyDescent="0.35">
      <c r="E352" s="4">
        <f>SUM($F$9:G351)+0.1</f>
        <v>1800.1</v>
      </c>
      <c r="F352" s="4"/>
    </row>
    <row r="353" spans="5:6" x14ac:dyDescent="0.35">
      <c r="E353" s="4">
        <f>SUM($F$9:G352)+0.1</f>
        <v>1800.1</v>
      </c>
      <c r="F353" s="4"/>
    </row>
    <row r="354" spans="5:6" x14ac:dyDescent="0.35">
      <c r="E354" s="4">
        <f>SUM($F$9:G353)+0.1</f>
        <v>1800.1</v>
      </c>
      <c r="F354" s="4"/>
    </row>
    <row r="355" spans="5:6" x14ac:dyDescent="0.35">
      <c r="E355" s="4">
        <f>SUM($F$9:G354)+0.1</f>
        <v>1800.1</v>
      </c>
      <c r="F355" s="4"/>
    </row>
    <row r="356" spans="5:6" x14ac:dyDescent="0.35">
      <c r="E356" s="4">
        <f>SUM($F$9:G355)+0.1</f>
        <v>1800.1</v>
      </c>
      <c r="F356" s="4"/>
    </row>
    <row r="357" spans="5:6" x14ac:dyDescent="0.35">
      <c r="E357" s="4">
        <f>SUM($F$9:G356)+0.1</f>
        <v>1800.1</v>
      </c>
      <c r="F357" s="4"/>
    </row>
    <row r="358" spans="5:6" x14ac:dyDescent="0.35">
      <c r="E358" s="4">
        <f>SUM($F$9:G357)+0.1</f>
        <v>1800.1</v>
      </c>
      <c r="F358" s="4"/>
    </row>
    <row r="359" spans="5:6" x14ac:dyDescent="0.35">
      <c r="E359" s="4">
        <f>SUM($F$9:G358)+0.1</f>
        <v>1800.1</v>
      </c>
      <c r="F359" s="4"/>
    </row>
    <row r="360" spans="5:6" x14ac:dyDescent="0.35">
      <c r="E360" s="4">
        <f>SUM($F$9:G359)+0.1</f>
        <v>1800.1</v>
      </c>
      <c r="F360" s="4"/>
    </row>
    <row r="361" spans="5:6" x14ac:dyDescent="0.35">
      <c r="E361" s="4">
        <f>SUM($F$9:G360)+0.1</f>
        <v>1800.1</v>
      </c>
      <c r="F361" s="4"/>
    </row>
    <row r="362" spans="5:6" x14ac:dyDescent="0.35">
      <c r="E362" s="4">
        <f>SUM($F$9:G361)+0.1</f>
        <v>1800.1</v>
      </c>
      <c r="F362" s="4"/>
    </row>
    <row r="363" spans="5:6" x14ac:dyDescent="0.35">
      <c r="E363" s="4">
        <f>SUM($F$9:G362)+0.1</f>
        <v>1800.1</v>
      </c>
      <c r="F363" s="4"/>
    </row>
    <row r="364" spans="5:6" x14ac:dyDescent="0.35">
      <c r="E364" s="4">
        <f>SUM($F$9:G363)+0.1</f>
        <v>1800.1</v>
      </c>
      <c r="F364" s="4"/>
    </row>
    <row r="365" spans="5:6" x14ac:dyDescent="0.35">
      <c r="E365" s="4">
        <f>SUM($F$9:G364)+0.1</f>
        <v>1800.1</v>
      </c>
      <c r="F365" s="4"/>
    </row>
    <row r="366" spans="5:6" x14ac:dyDescent="0.35">
      <c r="E366" s="4">
        <f>SUM($F$9:G365)+0.1</f>
        <v>1800.1</v>
      </c>
      <c r="F366" s="4"/>
    </row>
    <row r="367" spans="5:6" x14ac:dyDescent="0.35">
      <c r="E367" s="4">
        <f>SUM($F$9:G366)+0.1</f>
        <v>1800.1</v>
      </c>
      <c r="F367" s="4"/>
    </row>
    <row r="368" spans="5:6" x14ac:dyDescent="0.35">
      <c r="E368" s="4">
        <f>SUM($F$9:G367)+0.1</f>
        <v>1800.1</v>
      </c>
      <c r="F368" s="4"/>
    </row>
    <row r="369" spans="5:6" x14ac:dyDescent="0.35">
      <c r="E369" s="4">
        <f>SUM($F$9:G368)+0.1</f>
        <v>1800.1</v>
      </c>
      <c r="F369" s="4"/>
    </row>
    <row r="370" spans="5:6" x14ac:dyDescent="0.35">
      <c r="E370" s="4">
        <f>SUM($F$9:G369)+0.1</f>
        <v>1800.1</v>
      </c>
      <c r="F370" s="4"/>
    </row>
    <row r="371" spans="5:6" x14ac:dyDescent="0.35">
      <c r="E371" s="4">
        <f>SUM($F$9:G370)+0.1</f>
        <v>1800.1</v>
      </c>
      <c r="F371" s="4"/>
    </row>
    <row r="372" spans="5:6" x14ac:dyDescent="0.35">
      <c r="E372" s="4">
        <f>SUM($F$9:G371)+0.1</f>
        <v>1800.1</v>
      </c>
      <c r="F372" s="4"/>
    </row>
    <row r="373" spans="5:6" x14ac:dyDescent="0.35">
      <c r="E373" s="4">
        <f>SUM($F$9:G372)+0.1</f>
        <v>1800.1</v>
      </c>
      <c r="F373" s="4"/>
    </row>
    <row r="374" spans="5:6" x14ac:dyDescent="0.35">
      <c r="E374" s="4">
        <f>SUM($F$9:G373)+0.1</f>
        <v>1800.1</v>
      </c>
      <c r="F374" s="4"/>
    </row>
    <row r="375" spans="5:6" x14ac:dyDescent="0.35">
      <c r="E375" s="4">
        <f>SUM($F$9:G374)+0.1</f>
        <v>1800.1</v>
      </c>
      <c r="F375" s="4"/>
    </row>
    <row r="376" spans="5:6" x14ac:dyDescent="0.35">
      <c r="E376" s="4">
        <f>SUM($F$9:G375)+0.1</f>
        <v>1800.1</v>
      </c>
      <c r="F376" s="4"/>
    </row>
    <row r="377" spans="5:6" x14ac:dyDescent="0.35">
      <c r="E377" s="4">
        <f>SUM($F$9:G376)+0.1</f>
        <v>1800.1</v>
      </c>
      <c r="F377" s="4"/>
    </row>
    <row r="378" spans="5:6" x14ac:dyDescent="0.35">
      <c r="E378" s="4">
        <f>SUM($F$9:G377)+0.1</f>
        <v>1800.1</v>
      </c>
      <c r="F378" s="4"/>
    </row>
    <row r="379" spans="5:6" x14ac:dyDescent="0.35">
      <c r="E379" s="4">
        <f>SUM($F$9:G378)+0.1</f>
        <v>1800.1</v>
      </c>
      <c r="F379" s="4"/>
    </row>
    <row r="380" spans="5:6" x14ac:dyDescent="0.35">
      <c r="E380" s="4">
        <f>SUM($F$9:G379)+0.1</f>
        <v>1800.1</v>
      </c>
      <c r="F380" s="4"/>
    </row>
    <row r="381" spans="5:6" x14ac:dyDescent="0.35">
      <c r="E381" s="4">
        <f>SUM($F$9:G380)+0.1</f>
        <v>1800.1</v>
      </c>
      <c r="F381" s="4"/>
    </row>
    <row r="382" spans="5:6" x14ac:dyDescent="0.35">
      <c r="E382" s="4">
        <f>SUM($F$9:G381)+0.1</f>
        <v>1800.1</v>
      </c>
      <c r="F382" s="4"/>
    </row>
    <row r="383" spans="5:6" x14ac:dyDescent="0.35">
      <c r="E383" s="4">
        <f>SUM($F$9:G382)+0.1</f>
        <v>1800.1</v>
      </c>
      <c r="F383" s="4"/>
    </row>
    <row r="384" spans="5:6" x14ac:dyDescent="0.35">
      <c r="E384" s="4">
        <f>SUM($F$9:G383)+0.1</f>
        <v>1800.1</v>
      </c>
      <c r="F384" s="4"/>
    </row>
    <row r="385" spans="5:6" x14ac:dyDescent="0.35">
      <c r="E385" s="4">
        <f>SUM($F$9:G384)+0.1</f>
        <v>1800.1</v>
      </c>
      <c r="F385" s="4"/>
    </row>
    <row r="386" spans="5:6" x14ac:dyDescent="0.35">
      <c r="E386" s="4">
        <f>SUM($F$9:G385)+0.1</f>
        <v>1800.1</v>
      </c>
      <c r="F386" s="4"/>
    </row>
    <row r="387" spans="5:6" x14ac:dyDescent="0.35">
      <c r="E387" s="4">
        <f>SUM($F$9:G386)+0.1</f>
        <v>1800.1</v>
      </c>
      <c r="F387" s="4"/>
    </row>
    <row r="388" spans="5:6" x14ac:dyDescent="0.35">
      <c r="E388" s="4">
        <f>SUM($F$9:G387)+0.1</f>
        <v>1800.1</v>
      </c>
      <c r="F388" s="4"/>
    </row>
    <row r="389" spans="5:6" x14ac:dyDescent="0.35">
      <c r="E389" s="4">
        <f>SUM($F$9:G388)+0.1</f>
        <v>1800.1</v>
      </c>
      <c r="F389" s="4"/>
    </row>
    <row r="390" spans="5:6" x14ac:dyDescent="0.35">
      <c r="E390" s="4">
        <f>SUM($F$9:G389)+0.1</f>
        <v>1800.1</v>
      </c>
      <c r="F390" s="4"/>
    </row>
    <row r="391" spans="5:6" x14ac:dyDescent="0.35">
      <c r="E391" s="4">
        <f>SUM($F$9:G390)+0.1</f>
        <v>1800.1</v>
      </c>
      <c r="F391" s="4"/>
    </row>
    <row r="392" spans="5:6" x14ac:dyDescent="0.35">
      <c r="E392" s="4">
        <f>SUM($F$9:G391)+0.1</f>
        <v>1800.1</v>
      </c>
      <c r="F392" s="4"/>
    </row>
    <row r="393" spans="5:6" x14ac:dyDescent="0.35">
      <c r="E393" s="4">
        <f>SUM($F$9:G392)+0.1</f>
        <v>1800.1</v>
      </c>
      <c r="F393" s="4"/>
    </row>
    <row r="394" spans="5:6" x14ac:dyDescent="0.35">
      <c r="E394" s="4">
        <f>SUM($F$9:G393)+0.1</f>
        <v>1800.1</v>
      </c>
      <c r="F394" s="4"/>
    </row>
    <row r="395" spans="5:6" x14ac:dyDescent="0.35">
      <c r="E395" s="4">
        <f>SUM($F$9:G394)+0.1</f>
        <v>1800.1</v>
      </c>
      <c r="F395" s="4"/>
    </row>
    <row r="396" spans="5:6" x14ac:dyDescent="0.35">
      <c r="E396" s="4">
        <f>SUM($F$9:G395)+0.1</f>
        <v>1800.1</v>
      </c>
      <c r="F396" s="4"/>
    </row>
    <row r="397" spans="5:6" x14ac:dyDescent="0.35">
      <c r="E397" s="4">
        <f>SUM($F$9:G396)+0.1</f>
        <v>1800.1</v>
      </c>
      <c r="F397" s="4"/>
    </row>
    <row r="398" spans="5:6" x14ac:dyDescent="0.35">
      <c r="E398" s="4">
        <f>SUM($F$9:G397)+0.1</f>
        <v>1800.1</v>
      </c>
      <c r="F398" s="4"/>
    </row>
    <row r="399" spans="5:6" x14ac:dyDescent="0.35">
      <c r="E399" s="4">
        <f>SUM($F$9:G398)+0.1</f>
        <v>1800.1</v>
      </c>
      <c r="F399" s="4"/>
    </row>
    <row r="400" spans="5:6" x14ac:dyDescent="0.35">
      <c r="E400" s="4">
        <f>SUM($F$9:G399)+0.1</f>
        <v>1800.1</v>
      </c>
      <c r="F400" s="4"/>
    </row>
    <row r="401" spans="5:6" x14ac:dyDescent="0.35">
      <c r="E401" s="4">
        <f>SUM($F$9:G400)+0.1</f>
        <v>1800.1</v>
      </c>
      <c r="F401" s="4"/>
    </row>
    <row r="402" spans="5:6" x14ac:dyDescent="0.35">
      <c r="E402" s="4">
        <f>SUM($F$9:G401)+0.1</f>
        <v>1800.1</v>
      </c>
      <c r="F402" s="4"/>
    </row>
    <row r="403" spans="5:6" x14ac:dyDescent="0.35">
      <c r="E403" s="4">
        <f>SUM($F$9:G402)+0.1</f>
        <v>1800.1</v>
      </c>
      <c r="F403" s="4"/>
    </row>
    <row r="404" spans="5:6" x14ac:dyDescent="0.35">
      <c r="E404" s="4">
        <f>SUM($F$9:G403)+0.1</f>
        <v>1800.1</v>
      </c>
      <c r="F404" s="4"/>
    </row>
    <row r="405" spans="5:6" x14ac:dyDescent="0.35">
      <c r="E405" s="4">
        <f>SUM($F$9:G404)+0.1</f>
        <v>1800.1</v>
      </c>
      <c r="F405" s="4"/>
    </row>
    <row r="406" spans="5:6" x14ac:dyDescent="0.35">
      <c r="E406" s="4">
        <f>SUM($F$9:G405)+0.1</f>
        <v>1800.1</v>
      </c>
      <c r="F406" s="4"/>
    </row>
    <row r="407" spans="5:6" x14ac:dyDescent="0.35">
      <c r="E407" s="4">
        <f>SUM($F$9:G406)+0.1</f>
        <v>1800.1</v>
      </c>
      <c r="F407" s="4"/>
    </row>
    <row r="408" spans="5:6" x14ac:dyDescent="0.35">
      <c r="E408" s="4">
        <f>SUM($F$9:G407)+0.1</f>
        <v>1800.1</v>
      </c>
      <c r="F408" s="4"/>
    </row>
    <row r="409" spans="5:6" x14ac:dyDescent="0.35">
      <c r="E409" s="4">
        <f>SUM($F$9:G408)+0.1</f>
        <v>1800.1</v>
      </c>
      <c r="F409" s="4"/>
    </row>
    <row r="410" spans="5:6" x14ac:dyDescent="0.35">
      <c r="E410" s="4">
        <f>SUM($F$9:G409)+0.1</f>
        <v>1800.1</v>
      </c>
      <c r="F410" s="4"/>
    </row>
    <row r="411" spans="5:6" x14ac:dyDescent="0.35">
      <c r="E411" s="4">
        <f>SUM($F$9:G410)+0.1</f>
        <v>1800.1</v>
      </c>
      <c r="F411" s="4"/>
    </row>
    <row r="412" spans="5:6" x14ac:dyDescent="0.35">
      <c r="E412" s="4">
        <f>SUM($F$9:G411)+0.1</f>
        <v>1800.1</v>
      </c>
      <c r="F412" s="4"/>
    </row>
    <row r="413" spans="5:6" x14ac:dyDescent="0.35">
      <c r="E413" s="4">
        <f>SUM($F$9:G412)+0.1</f>
        <v>1800.1</v>
      </c>
      <c r="F413" s="4"/>
    </row>
    <row r="414" spans="5:6" x14ac:dyDescent="0.35">
      <c r="E414" s="4">
        <f>SUM($F$9:G413)+0.1</f>
        <v>1800.1</v>
      </c>
      <c r="F414" s="4"/>
    </row>
    <row r="415" spans="5:6" x14ac:dyDescent="0.35">
      <c r="E415" s="4">
        <f>SUM($F$9:G414)+0.1</f>
        <v>1800.1</v>
      </c>
      <c r="F415" s="4"/>
    </row>
    <row r="416" spans="5:6" x14ac:dyDescent="0.35">
      <c r="E416" s="4">
        <f>SUM($F$9:G415)+0.1</f>
        <v>1800.1</v>
      </c>
      <c r="F416" s="4"/>
    </row>
    <row r="417" spans="5:6" x14ac:dyDescent="0.35">
      <c r="E417" s="4">
        <f>SUM($F$9:G416)+0.1</f>
        <v>1800.1</v>
      </c>
      <c r="F417" s="4"/>
    </row>
    <row r="418" spans="5:6" x14ac:dyDescent="0.35">
      <c r="E418" s="4">
        <f>SUM($F$9:G417)+0.1</f>
        <v>1800.1</v>
      </c>
      <c r="F418" s="4"/>
    </row>
    <row r="419" spans="5:6" x14ac:dyDescent="0.35">
      <c r="E419" s="4">
        <f>SUM($F$9:G418)+0.1</f>
        <v>1800.1</v>
      </c>
      <c r="F419" s="4"/>
    </row>
    <row r="420" spans="5:6" x14ac:dyDescent="0.35">
      <c r="E420" s="4">
        <f>SUM($F$9:G419)+0.1</f>
        <v>1800.1</v>
      </c>
      <c r="F420" s="4"/>
    </row>
    <row r="421" spans="5:6" x14ac:dyDescent="0.35">
      <c r="E421" s="4">
        <f>SUM($F$9:G420)+0.1</f>
        <v>1800.1</v>
      </c>
      <c r="F421" s="4"/>
    </row>
    <row r="422" spans="5:6" x14ac:dyDescent="0.35">
      <c r="E422" s="4">
        <f>SUM($F$9:G421)+0.1</f>
        <v>1800.1</v>
      </c>
      <c r="F422" s="4"/>
    </row>
    <row r="423" spans="5:6" x14ac:dyDescent="0.35">
      <c r="E423" s="4">
        <f>SUM($F$9:G422)+0.1</f>
        <v>1800.1</v>
      </c>
      <c r="F423" s="4"/>
    </row>
    <row r="424" spans="5:6" x14ac:dyDescent="0.35">
      <c r="E424" s="4">
        <f>SUM($F$9:G423)+0.1</f>
        <v>1800.1</v>
      </c>
      <c r="F424" s="4"/>
    </row>
    <row r="425" spans="5:6" x14ac:dyDescent="0.35">
      <c r="E425" s="4">
        <f>SUM($F$9:G424)+0.1</f>
        <v>1800.1</v>
      </c>
      <c r="F425" s="4"/>
    </row>
    <row r="426" spans="5:6" x14ac:dyDescent="0.35">
      <c r="E426" s="4">
        <f>SUM($F$9:G425)+0.1</f>
        <v>1800.1</v>
      </c>
      <c r="F426" s="4"/>
    </row>
    <row r="427" spans="5:6" x14ac:dyDescent="0.35">
      <c r="E427" s="4">
        <f>SUM($F$9:G426)+0.1</f>
        <v>1800.1</v>
      </c>
      <c r="F427" s="4"/>
    </row>
    <row r="428" spans="5:6" x14ac:dyDescent="0.35">
      <c r="E428" s="4">
        <f>SUM($F$9:G427)+0.1</f>
        <v>1800.1</v>
      </c>
      <c r="F428" s="4"/>
    </row>
    <row r="429" spans="5:6" x14ac:dyDescent="0.35">
      <c r="E429" s="4">
        <f>SUM($F$9:G428)+0.1</f>
        <v>1800.1</v>
      </c>
      <c r="F429" s="4"/>
    </row>
    <row r="430" spans="5:6" x14ac:dyDescent="0.35">
      <c r="E430" s="4">
        <f>SUM($F$9:G429)+0.1</f>
        <v>1800.1</v>
      </c>
      <c r="F430" s="4"/>
    </row>
    <row r="431" spans="5:6" x14ac:dyDescent="0.35">
      <c r="E431" s="4">
        <f>SUM($F$9:G430)+0.1</f>
        <v>1800.1</v>
      </c>
      <c r="F431" s="4"/>
    </row>
    <row r="432" spans="5:6" x14ac:dyDescent="0.35">
      <c r="E432" s="4">
        <f>SUM($F$9:G431)+0.1</f>
        <v>1800.1</v>
      </c>
      <c r="F432" s="4"/>
    </row>
    <row r="433" spans="5:6" x14ac:dyDescent="0.35">
      <c r="E433" s="4">
        <f>SUM($F$9:G432)+0.1</f>
        <v>1800.1</v>
      </c>
      <c r="F433" s="4"/>
    </row>
    <row r="434" spans="5:6" x14ac:dyDescent="0.35">
      <c r="E434" s="4">
        <f>SUM($F$9:G433)+0.1</f>
        <v>1800.1</v>
      </c>
      <c r="F434" s="4"/>
    </row>
    <row r="435" spans="5:6" x14ac:dyDescent="0.35">
      <c r="E435" s="4">
        <f>SUM($F$9:G434)+0.1</f>
        <v>1800.1</v>
      </c>
      <c r="F435" s="4"/>
    </row>
    <row r="436" spans="5:6" x14ac:dyDescent="0.35">
      <c r="E436" s="4">
        <f>SUM($F$9:G435)+0.1</f>
        <v>1800.1</v>
      </c>
      <c r="F436" s="4"/>
    </row>
    <row r="437" spans="5:6" x14ac:dyDescent="0.35">
      <c r="E437" s="4">
        <f>SUM($F$9:G436)+0.1</f>
        <v>1800.1</v>
      </c>
      <c r="F437" s="4"/>
    </row>
    <row r="438" spans="5:6" x14ac:dyDescent="0.35">
      <c r="E438" s="4">
        <f>SUM($F$9:G437)+0.1</f>
        <v>1800.1</v>
      </c>
      <c r="F438" s="4"/>
    </row>
    <row r="439" spans="5:6" x14ac:dyDescent="0.35">
      <c r="E439" s="4">
        <f>SUM($F$9:G438)+0.1</f>
        <v>1800.1</v>
      </c>
      <c r="F439" s="4"/>
    </row>
    <row r="440" spans="5:6" x14ac:dyDescent="0.35">
      <c r="E440" s="4">
        <f>SUM($F$9:G439)+0.1</f>
        <v>1800.1</v>
      </c>
      <c r="F440" s="4"/>
    </row>
    <row r="441" spans="5:6" x14ac:dyDescent="0.35">
      <c r="E441" s="4">
        <f>SUM($F$9:G440)+0.1</f>
        <v>1800.1</v>
      </c>
      <c r="F441" s="4"/>
    </row>
    <row r="442" spans="5:6" x14ac:dyDescent="0.35">
      <c r="E442" s="4">
        <f>SUM($F$9:G441)+0.1</f>
        <v>1800.1</v>
      </c>
      <c r="F442" s="4"/>
    </row>
    <row r="443" spans="5:6" x14ac:dyDescent="0.35">
      <c r="E443" s="4">
        <f>SUM($F$9:G442)+0.1</f>
        <v>1800.1</v>
      </c>
      <c r="F443" s="4"/>
    </row>
    <row r="444" spans="5:6" x14ac:dyDescent="0.35">
      <c r="E444" s="4">
        <f>SUM($F$9:G443)+0.1</f>
        <v>1800.1</v>
      </c>
      <c r="F444" s="4"/>
    </row>
    <row r="445" spans="5:6" x14ac:dyDescent="0.35">
      <c r="E445" s="4">
        <f>SUM($F$9:G444)+0.1</f>
        <v>1800.1</v>
      </c>
      <c r="F445" s="4"/>
    </row>
    <row r="446" spans="5:6" x14ac:dyDescent="0.35">
      <c r="E446" s="4">
        <f>SUM($F$9:G445)+0.1</f>
        <v>1800.1</v>
      </c>
      <c r="F446" s="4"/>
    </row>
    <row r="447" spans="5:6" x14ac:dyDescent="0.35">
      <c r="E447" s="4">
        <f>SUM($F$9:G446)+0.1</f>
        <v>1800.1</v>
      </c>
      <c r="F447" s="4"/>
    </row>
    <row r="448" spans="5:6" x14ac:dyDescent="0.35">
      <c r="E448" s="4">
        <f>SUM($F$9:G447)+0.1</f>
        <v>1800.1</v>
      </c>
      <c r="F448" s="4"/>
    </row>
    <row r="449" spans="5:6" x14ac:dyDescent="0.35">
      <c r="E449" s="4">
        <f>SUM($F$9:G448)+0.1</f>
        <v>1800.1</v>
      </c>
      <c r="F449" s="4"/>
    </row>
    <row r="450" spans="5:6" x14ac:dyDescent="0.35">
      <c r="E450" s="4">
        <f>SUM($F$9:G449)+0.1</f>
        <v>1800.1</v>
      </c>
      <c r="F450" s="4"/>
    </row>
    <row r="451" spans="5:6" x14ac:dyDescent="0.35">
      <c r="E451" s="4">
        <f>SUM($F$9:G450)+0.1</f>
        <v>1800.1</v>
      </c>
      <c r="F451" s="4"/>
    </row>
    <row r="452" spans="5:6" x14ac:dyDescent="0.35">
      <c r="E452" s="4">
        <f>SUM($F$9:G451)+0.1</f>
        <v>1800.1</v>
      </c>
      <c r="F452" s="4"/>
    </row>
    <row r="453" spans="5:6" x14ac:dyDescent="0.35">
      <c r="E453" s="4">
        <f>SUM($F$9:G452)+0.1</f>
        <v>1800.1</v>
      </c>
      <c r="F453" s="4"/>
    </row>
    <row r="454" spans="5:6" x14ac:dyDescent="0.35">
      <c r="E454" s="4">
        <f>SUM($F$9:G453)+0.1</f>
        <v>1800.1</v>
      </c>
      <c r="F454" s="4"/>
    </row>
    <row r="455" spans="5:6" x14ac:dyDescent="0.35">
      <c r="E455" s="4">
        <f>SUM($F$9:G454)+0.1</f>
        <v>1800.1</v>
      </c>
      <c r="F455" s="4"/>
    </row>
    <row r="456" spans="5:6" x14ac:dyDescent="0.35">
      <c r="E456" s="4">
        <f>SUM($F$9:G455)+0.1</f>
        <v>1800.1</v>
      </c>
      <c r="F456" s="4"/>
    </row>
    <row r="457" spans="5:6" x14ac:dyDescent="0.35">
      <c r="E457" s="4">
        <f>SUM($F$9:G456)+0.1</f>
        <v>1800.1</v>
      </c>
      <c r="F457" s="4"/>
    </row>
    <row r="458" spans="5:6" x14ac:dyDescent="0.35">
      <c r="E458" s="4">
        <f>SUM($F$9:G457)+0.1</f>
        <v>1800.1</v>
      </c>
      <c r="F458" s="4"/>
    </row>
    <row r="459" spans="5:6" x14ac:dyDescent="0.35">
      <c r="E459" s="4">
        <f>SUM($F$9:G458)+0.1</f>
        <v>1800.1</v>
      </c>
      <c r="F459" s="4"/>
    </row>
    <row r="460" spans="5:6" x14ac:dyDescent="0.35">
      <c r="E460" s="4">
        <f>SUM($F$9:G459)+0.1</f>
        <v>1800.1</v>
      </c>
      <c r="F460" s="4"/>
    </row>
    <row r="461" spans="5:6" x14ac:dyDescent="0.35">
      <c r="E461" s="4">
        <f>SUM($F$9:G460)+0.1</f>
        <v>1800.1</v>
      </c>
      <c r="F461" s="4"/>
    </row>
    <row r="462" spans="5:6" x14ac:dyDescent="0.35">
      <c r="E462" s="4">
        <f>SUM($F$9:G461)+0.1</f>
        <v>1800.1</v>
      </c>
      <c r="F462" s="4"/>
    </row>
    <row r="463" spans="5:6" x14ac:dyDescent="0.35">
      <c r="E463" s="4">
        <f>SUM($F$9:G462)+0.1</f>
        <v>1800.1</v>
      </c>
      <c r="F463" s="4"/>
    </row>
    <row r="464" spans="5:6" x14ac:dyDescent="0.35">
      <c r="E464" s="4">
        <f>SUM($F$9:G463)+0.1</f>
        <v>1800.1</v>
      </c>
      <c r="F464" s="4"/>
    </row>
    <row r="465" spans="5:6" x14ac:dyDescent="0.35">
      <c r="E465" s="4">
        <f>SUM($F$9:G464)+0.1</f>
        <v>1800.1</v>
      </c>
      <c r="F465" s="4"/>
    </row>
    <row r="466" spans="5:6" x14ac:dyDescent="0.35">
      <c r="E466" s="4">
        <f>SUM($F$9:G465)+0.1</f>
        <v>1800.1</v>
      </c>
      <c r="F466" s="4"/>
    </row>
    <row r="467" spans="5:6" x14ac:dyDescent="0.35">
      <c r="E467" s="4">
        <f>SUM($F$9:G466)+0.1</f>
        <v>1800.1</v>
      </c>
      <c r="F467" s="4"/>
    </row>
    <row r="468" spans="5:6" x14ac:dyDescent="0.35">
      <c r="E468" s="4">
        <f>SUM($F$9:G467)+0.1</f>
        <v>1800.1</v>
      </c>
      <c r="F468" s="4"/>
    </row>
    <row r="469" spans="5:6" x14ac:dyDescent="0.35">
      <c r="E469" s="4">
        <f>SUM($F$9:G468)+0.1</f>
        <v>1800.1</v>
      </c>
      <c r="F469" s="4"/>
    </row>
    <row r="470" spans="5:6" x14ac:dyDescent="0.35">
      <c r="E470" s="4">
        <f>SUM($F$9:G469)+0.1</f>
        <v>1800.1</v>
      </c>
      <c r="F470" s="4"/>
    </row>
    <row r="471" spans="5:6" x14ac:dyDescent="0.35">
      <c r="E471" s="4">
        <f>SUM($F$9:G470)+0.1</f>
        <v>1800.1</v>
      </c>
      <c r="F471" s="4"/>
    </row>
    <row r="472" spans="5:6" x14ac:dyDescent="0.35">
      <c r="E472" s="4">
        <f>SUM($F$9:G471)+0.1</f>
        <v>1800.1</v>
      </c>
      <c r="F472" s="4"/>
    </row>
    <row r="473" spans="5:6" x14ac:dyDescent="0.35">
      <c r="E473" s="4">
        <f>SUM($F$9:G472)+0.1</f>
        <v>1800.1</v>
      </c>
      <c r="F473" s="4"/>
    </row>
    <row r="474" spans="5:6" x14ac:dyDescent="0.35">
      <c r="E474" s="4">
        <f>SUM($F$9:G473)+0.1</f>
        <v>1800.1</v>
      </c>
      <c r="F474" s="4"/>
    </row>
    <row r="475" spans="5:6" x14ac:dyDescent="0.35">
      <c r="E475" s="4">
        <f>SUM($F$9:G474)+0.1</f>
        <v>1800.1</v>
      </c>
      <c r="F475" s="4"/>
    </row>
    <row r="476" spans="5:6" x14ac:dyDescent="0.35">
      <c r="E476" s="4">
        <f>SUM($F$9:G475)+0.1</f>
        <v>1800.1</v>
      </c>
      <c r="F476" s="4"/>
    </row>
    <row r="477" spans="5:6" x14ac:dyDescent="0.35">
      <c r="E477" s="4">
        <f>SUM($F$9:G476)+0.1</f>
        <v>1800.1</v>
      </c>
      <c r="F477" s="4"/>
    </row>
    <row r="478" spans="5:6" x14ac:dyDescent="0.35">
      <c r="E478" s="4">
        <f>SUM($F$9:G477)+0.1</f>
        <v>1800.1</v>
      </c>
      <c r="F478" s="4"/>
    </row>
    <row r="479" spans="5:6" x14ac:dyDescent="0.35">
      <c r="E479" s="4">
        <f>SUM($F$9:G478)+0.1</f>
        <v>1800.1</v>
      </c>
      <c r="F479" s="4"/>
    </row>
    <row r="480" spans="5:6" x14ac:dyDescent="0.35">
      <c r="E480" s="4">
        <f>SUM($F$9:G479)+0.1</f>
        <v>1800.1</v>
      </c>
      <c r="F480" s="4"/>
    </row>
    <row r="481" spans="5:6" x14ac:dyDescent="0.35">
      <c r="E481" s="4">
        <f>SUM($F$9:G480)+0.1</f>
        <v>1800.1</v>
      </c>
      <c r="F481" s="4"/>
    </row>
    <row r="482" spans="5:6" x14ac:dyDescent="0.35">
      <c r="E482" s="4">
        <f>SUM($F$9:G481)+0.1</f>
        <v>1800.1</v>
      </c>
      <c r="F482" s="4"/>
    </row>
    <row r="483" spans="5:6" x14ac:dyDescent="0.35">
      <c r="E483" s="4">
        <f>SUM($F$9:G482)+0.1</f>
        <v>1800.1</v>
      </c>
      <c r="F483" s="4"/>
    </row>
    <row r="484" spans="5:6" x14ac:dyDescent="0.35">
      <c r="E484" s="4">
        <f>SUM($F$9:G483)+0.1</f>
        <v>1800.1</v>
      </c>
      <c r="F484" s="4"/>
    </row>
    <row r="485" spans="5:6" x14ac:dyDescent="0.35">
      <c r="E485" s="4">
        <f>SUM($F$9:G484)+0.1</f>
        <v>1800.1</v>
      </c>
      <c r="F485" s="4"/>
    </row>
    <row r="486" spans="5:6" x14ac:dyDescent="0.35">
      <c r="E486" s="4">
        <f>SUM($F$9:G485)+0.1</f>
        <v>1800.1</v>
      </c>
      <c r="F486" s="4"/>
    </row>
    <row r="487" spans="5:6" x14ac:dyDescent="0.35">
      <c r="E487" s="4">
        <f>SUM($F$9:G486)+0.1</f>
        <v>1800.1</v>
      </c>
      <c r="F487" s="4"/>
    </row>
    <row r="488" spans="5:6" x14ac:dyDescent="0.35">
      <c r="E488" s="4">
        <f>SUM($F$9:G487)+0.1</f>
        <v>1800.1</v>
      </c>
      <c r="F488" s="4"/>
    </row>
    <row r="489" spans="5:6" x14ac:dyDescent="0.35">
      <c r="E489" s="4">
        <f>SUM($F$9:G488)+0.1</f>
        <v>1800.1</v>
      </c>
      <c r="F489" s="4"/>
    </row>
    <row r="490" spans="5:6" x14ac:dyDescent="0.35">
      <c r="E490" s="4">
        <f>SUM($F$9:G489)+0.1</f>
        <v>1800.1</v>
      </c>
      <c r="F490" s="4"/>
    </row>
    <row r="491" spans="5:6" x14ac:dyDescent="0.35">
      <c r="E491" s="4">
        <f>SUM($F$9:G490)+0.1</f>
        <v>1800.1</v>
      </c>
      <c r="F491" s="4"/>
    </row>
    <row r="492" spans="5:6" x14ac:dyDescent="0.35">
      <c r="E492" s="4">
        <f>SUM($F$9:G491)+0.1</f>
        <v>1800.1</v>
      </c>
      <c r="F492" s="4"/>
    </row>
    <row r="493" spans="5:6" x14ac:dyDescent="0.35">
      <c r="E493" s="4">
        <f>SUM($F$9:G492)+0.1</f>
        <v>1800.1</v>
      </c>
      <c r="F493" s="4"/>
    </row>
    <row r="494" spans="5:6" x14ac:dyDescent="0.35">
      <c r="E494" s="4">
        <f>SUM($F$9:G493)+0.1</f>
        <v>1800.1</v>
      </c>
      <c r="F494" s="4"/>
    </row>
    <row r="495" spans="5:6" x14ac:dyDescent="0.35">
      <c r="E495" s="4">
        <f>SUM($F$9:G494)+0.1</f>
        <v>1800.1</v>
      </c>
      <c r="F495" s="4"/>
    </row>
    <row r="496" spans="5:6" x14ac:dyDescent="0.35">
      <c r="E496" s="4">
        <f>SUM($F$9:G495)+0.1</f>
        <v>1800.1</v>
      </c>
      <c r="F496" s="4"/>
    </row>
    <row r="497" spans="2:6" x14ac:dyDescent="0.35">
      <c r="E497" s="4">
        <f>SUM($F$9:G496)+0.1</f>
        <v>1800.1</v>
      </c>
      <c r="F497" s="4"/>
    </row>
    <row r="498" spans="2:6" x14ac:dyDescent="0.35">
      <c r="E498" s="4">
        <f>SUM($F$9:G497)+0.1</f>
        <v>1800.1</v>
      </c>
      <c r="F498" s="4"/>
    </row>
    <row r="499" spans="2:6" x14ac:dyDescent="0.35">
      <c r="E499" s="4">
        <f>SUM($F$9:G498)+0.1</f>
        <v>1800.1</v>
      </c>
      <c r="F499" s="4"/>
    </row>
    <row r="500" spans="2:6" x14ac:dyDescent="0.35">
      <c r="E500" s="4">
        <f>SUM($F$9:G499)+0.1</f>
        <v>1800.1</v>
      </c>
      <c r="F500" s="4"/>
    </row>
    <row r="501" spans="2:6" x14ac:dyDescent="0.35">
      <c r="E501" s="4">
        <f>SUM($F$9:G500)+0.1</f>
        <v>1800.1</v>
      </c>
      <c r="F501" s="4"/>
    </row>
    <row r="502" spans="2:6" x14ac:dyDescent="0.35">
      <c r="E502" s="4">
        <f>SUM($F$9:G501)+0.1</f>
        <v>1800.1</v>
      </c>
      <c r="F502" s="4"/>
    </row>
    <row r="503" spans="2:6" x14ac:dyDescent="0.35">
      <c r="E503" s="4">
        <f>SUM($F$9:G502)+0.1</f>
        <v>1800.1</v>
      </c>
      <c r="F503" s="4"/>
    </row>
    <row r="504" spans="2:6" x14ac:dyDescent="0.35">
      <c r="E504" s="4">
        <f>SUM($F$9:G503)+0.1</f>
        <v>1800.1</v>
      </c>
      <c r="F504" s="4"/>
    </row>
    <row r="505" spans="2:6" x14ac:dyDescent="0.35">
      <c r="E505" s="4">
        <f>SUM($F$9:G504)+0.1</f>
        <v>1800.1</v>
      </c>
      <c r="F505" s="4"/>
    </row>
    <row r="506" spans="2:6" x14ac:dyDescent="0.35">
      <c r="E506" s="4">
        <f>SUM($F$9:G505)+0.1</f>
        <v>1800.1</v>
      </c>
      <c r="F506" s="4"/>
    </row>
    <row r="507" spans="2:6" x14ac:dyDescent="0.35">
      <c r="B507" s="3"/>
      <c r="E507" s="4">
        <f>SUM($F$9:G506)+0.1</f>
        <v>1800.1</v>
      </c>
      <c r="F507" s="4"/>
    </row>
    <row r="508" spans="2:6" x14ac:dyDescent="0.35">
      <c r="E508" s="4">
        <f>SUM($F$9:G507)+0.1</f>
        <v>1800.1</v>
      </c>
      <c r="F508" s="4"/>
    </row>
    <row r="509" spans="2:6" x14ac:dyDescent="0.35">
      <c r="E509" s="4">
        <f>SUM($F$9:G508)+0.1</f>
        <v>1800.1</v>
      </c>
      <c r="F509" s="4"/>
    </row>
    <row r="510" spans="2:6" x14ac:dyDescent="0.35">
      <c r="E510" s="4">
        <f>SUM($F$9:G509)+0.1</f>
        <v>1800.1</v>
      </c>
      <c r="F510" s="4"/>
    </row>
    <row r="511" spans="2:6" x14ac:dyDescent="0.35">
      <c r="E511" s="4">
        <f>SUM($F$9:G510)+0.1</f>
        <v>1800.1</v>
      </c>
      <c r="F511" s="4"/>
    </row>
    <row r="512" spans="2:6" x14ac:dyDescent="0.35">
      <c r="E512" s="4">
        <f>SUM($F$9:G511)+0.1</f>
        <v>1800.1</v>
      </c>
      <c r="F512" s="4"/>
    </row>
    <row r="513" spans="5:6" x14ac:dyDescent="0.35">
      <c r="E513" s="4">
        <f>SUM($F$9:G512)+0.1</f>
        <v>1800.1</v>
      </c>
      <c r="F513" s="4"/>
    </row>
    <row r="514" spans="5:6" x14ac:dyDescent="0.35">
      <c r="E514" s="4">
        <f>SUM($F$9:G513)+0.1</f>
        <v>1800.1</v>
      </c>
      <c r="F514" s="4"/>
    </row>
    <row r="515" spans="5:6" x14ac:dyDescent="0.35">
      <c r="E515" s="4">
        <f>SUM($F$9:G514)+0.1</f>
        <v>1800.1</v>
      </c>
      <c r="F515" s="4"/>
    </row>
    <row r="516" spans="5:6" x14ac:dyDescent="0.35">
      <c r="E516" s="4">
        <f>SUM($F$9:G515)+0.1</f>
        <v>1800.1</v>
      </c>
      <c r="F516" s="4"/>
    </row>
    <row r="517" spans="5:6" x14ac:dyDescent="0.35">
      <c r="E517" s="4">
        <f>SUM($F$9:G516)+0.1</f>
        <v>1800.1</v>
      </c>
      <c r="F517" s="4"/>
    </row>
    <row r="518" spans="5:6" x14ac:dyDescent="0.35">
      <c r="E518" s="4">
        <f>SUM($F$9:G517)+0.1</f>
        <v>1800.1</v>
      </c>
      <c r="F518" s="4"/>
    </row>
    <row r="519" spans="5:6" x14ac:dyDescent="0.35">
      <c r="E519" s="4">
        <f>SUM($F$9:G518)+0.1</f>
        <v>1800.1</v>
      </c>
      <c r="F519" s="4"/>
    </row>
    <row r="520" spans="5:6" x14ac:dyDescent="0.35">
      <c r="E520" s="4">
        <f>SUM($F$9:G519)+0.1</f>
        <v>1800.1</v>
      </c>
      <c r="F520" s="4"/>
    </row>
    <row r="521" spans="5:6" x14ac:dyDescent="0.35">
      <c r="E521" s="4">
        <f>SUM($F$9:G520)+0.1</f>
        <v>1800.1</v>
      </c>
      <c r="F521" s="4"/>
    </row>
    <row r="522" spans="5:6" x14ac:dyDescent="0.35">
      <c r="E522" s="4">
        <f>SUM($F$9:G521)+0.1</f>
        <v>1800.1</v>
      </c>
      <c r="F522" s="4"/>
    </row>
    <row r="523" spans="5:6" x14ac:dyDescent="0.35">
      <c r="E523" s="4">
        <f>SUM($F$9:G522)+0.1</f>
        <v>1800.1</v>
      </c>
      <c r="F523" s="4"/>
    </row>
    <row r="524" spans="5:6" x14ac:dyDescent="0.35">
      <c r="E524" s="4">
        <f>SUM($F$9:G523)+0.1</f>
        <v>1800.1</v>
      </c>
      <c r="F524" s="4"/>
    </row>
    <row r="525" spans="5:6" x14ac:dyDescent="0.35">
      <c r="E525" s="4">
        <f>SUM($F$9:G524)+0.1</f>
        <v>1800.1</v>
      </c>
      <c r="F525" s="4"/>
    </row>
    <row r="526" spans="5:6" x14ac:dyDescent="0.35">
      <c r="E526" s="4">
        <f>SUM($F$9:G525)+0.1</f>
        <v>1800.1</v>
      </c>
      <c r="F526" s="4"/>
    </row>
    <row r="527" spans="5:6" x14ac:dyDescent="0.35">
      <c r="E527" s="4">
        <f>SUM($F$9:G526)+0.1</f>
        <v>1800.1</v>
      </c>
      <c r="F527" s="4"/>
    </row>
    <row r="528" spans="5:6" x14ac:dyDescent="0.35">
      <c r="E528" s="4">
        <f>SUM($F$9:G527)+0.1</f>
        <v>1800.1</v>
      </c>
      <c r="F528" s="4"/>
    </row>
    <row r="529" spans="5:6" x14ac:dyDescent="0.35">
      <c r="E529" s="4">
        <f>SUM($F$9:G528)+0.1</f>
        <v>1800.1</v>
      </c>
      <c r="F529" s="4"/>
    </row>
    <row r="530" spans="5:6" x14ac:dyDescent="0.35">
      <c r="E530" s="4">
        <f>SUM($F$9:G529)+0.1</f>
        <v>1800.1</v>
      </c>
      <c r="F530" s="4"/>
    </row>
    <row r="531" spans="5:6" x14ac:dyDescent="0.35">
      <c r="E531" s="4">
        <f>SUM($F$9:G530)+0.1</f>
        <v>1800.1</v>
      </c>
      <c r="F531" s="4"/>
    </row>
    <row r="532" spans="5:6" x14ac:dyDescent="0.35">
      <c r="E532" s="4">
        <f>SUM($F$9:G531)+0.1</f>
        <v>1800.1</v>
      </c>
      <c r="F532" s="4"/>
    </row>
    <row r="533" spans="5:6" x14ac:dyDescent="0.35">
      <c r="E533" s="4">
        <f>SUM($F$9:G532)+0.1</f>
        <v>1800.1</v>
      </c>
      <c r="F533" s="4"/>
    </row>
    <row r="534" spans="5:6" x14ac:dyDescent="0.35">
      <c r="E534" s="4">
        <f>SUM($F$9:G533)+0.1</f>
        <v>1800.1</v>
      </c>
      <c r="F534" s="4"/>
    </row>
    <row r="535" spans="5:6" x14ac:dyDescent="0.35">
      <c r="E535" s="4">
        <f>SUM($F$9:G534)+0.1</f>
        <v>1800.1</v>
      </c>
      <c r="F535" s="4"/>
    </row>
    <row r="536" spans="5:6" x14ac:dyDescent="0.35">
      <c r="E536" s="4">
        <f>SUM($F$9:G535)+0.1</f>
        <v>1800.1</v>
      </c>
      <c r="F536" s="4"/>
    </row>
    <row r="537" spans="5:6" x14ac:dyDescent="0.35">
      <c r="E537" s="4">
        <f>SUM($F$9:G536)+0.1</f>
        <v>1800.1</v>
      </c>
      <c r="F537" s="4"/>
    </row>
    <row r="538" spans="5:6" x14ac:dyDescent="0.35">
      <c r="E538" s="4">
        <f>SUM($F$9:G537)+0.1</f>
        <v>1800.1</v>
      </c>
      <c r="F538" s="4"/>
    </row>
    <row r="539" spans="5:6" x14ac:dyDescent="0.35">
      <c r="E539" s="4">
        <f>SUM($F$9:G538)+0.1</f>
        <v>1800.1</v>
      </c>
      <c r="F539" s="4"/>
    </row>
    <row r="540" spans="5:6" x14ac:dyDescent="0.35">
      <c r="E540" s="4">
        <f>SUM($F$9:G539)+0.1</f>
        <v>1800.1</v>
      </c>
      <c r="F540" s="4"/>
    </row>
    <row r="541" spans="5:6" x14ac:dyDescent="0.35">
      <c r="E541" s="4">
        <f>SUM($F$9:G540)+0.1</f>
        <v>1800.1</v>
      </c>
      <c r="F541" s="4"/>
    </row>
    <row r="542" spans="5:6" x14ac:dyDescent="0.35">
      <c r="E542" s="4">
        <f>SUM($F$9:G541)+0.1</f>
        <v>1800.1</v>
      </c>
      <c r="F542" s="4"/>
    </row>
    <row r="543" spans="5:6" x14ac:dyDescent="0.35">
      <c r="E543" s="4">
        <f>SUM($F$9:G542)+0.1</f>
        <v>1800.1</v>
      </c>
      <c r="F543" s="4"/>
    </row>
    <row r="544" spans="5:6" x14ac:dyDescent="0.35">
      <c r="E544" s="4">
        <f>SUM($F$9:G543)+0.1</f>
        <v>1800.1</v>
      </c>
      <c r="F544" s="4"/>
    </row>
    <row r="545" spans="5:6" x14ac:dyDescent="0.35">
      <c r="E545" s="4">
        <f>SUM($F$9:G544)+0.1</f>
        <v>1800.1</v>
      </c>
      <c r="F545" s="4"/>
    </row>
    <row r="546" spans="5:6" x14ac:dyDescent="0.35">
      <c r="E546" s="4">
        <f>SUM($F$9:G545)+0.1</f>
        <v>1800.1</v>
      </c>
      <c r="F546" s="4"/>
    </row>
    <row r="547" spans="5:6" x14ac:dyDescent="0.35">
      <c r="E547" s="4">
        <f>SUM($F$9:G546)+0.1</f>
        <v>1800.1</v>
      </c>
      <c r="F547" s="4"/>
    </row>
    <row r="548" spans="5:6" x14ac:dyDescent="0.35">
      <c r="E548" s="4">
        <f>SUM($F$9:G547)+0.1</f>
        <v>1800.1</v>
      </c>
      <c r="F548" s="4"/>
    </row>
    <row r="549" spans="5:6" x14ac:dyDescent="0.35">
      <c r="E549" s="4">
        <f>SUM($F$9:G548)+0.1</f>
        <v>1800.1</v>
      </c>
      <c r="F549" s="4"/>
    </row>
    <row r="550" spans="5:6" x14ac:dyDescent="0.35">
      <c r="E550" s="4">
        <f>SUM($F$9:G549)+0.1</f>
        <v>1800.1</v>
      </c>
      <c r="F550" s="4"/>
    </row>
    <row r="551" spans="5:6" x14ac:dyDescent="0.35">
      <c r="E551" s="4">
        <f>SUM($F$9:G550)+0.1</f>
        <v>1800.1</v>
      </c>
      <c r="F551" s="4"/>
    </row>
    <row r="552" spans="5:6" x14ac:dyDescent="0.35">
      <c r="E552" s="4">
        <f>SUM($F$9:G551)+0.1</f>
        <v>1800.1</v>
      </c>
      <c r="F552" s="4"/>
    </row>
    <row r="553" spans="5:6" x14ac:dyDescent="0.35">
      <c r="E553" s="4">
        <f>SUM($F$9:G552)+0.1</f>
        <v>1800.1</v>
      </c>
      <c r="F553" s="4"/>
    </row>
    <row r="554" spans="5:6" x14ac:dyDescent="0.35">
      <c r="E554" s="4">
        <f>SUM($F$9:G553)+0.1</f>
        <v>1800.1</v>
      </c>
      <c r="F554" s="4"/>
    </row>
    <row r="555" spans="5:6" x14ac:dyDescent="0.35">
      <c r="E555" s="4">
        <f>SUM($F$9:G554)+0.1</f>
        <v>1800.1</v>
      </c>
      <c r="F555" s="4"/>
    </row>
    <row r="556" spans="5:6" x14ac:dyDescent="0.35">
      <c r="E556" s="4">
        <f>SUM($F$9:G555)+0.1</f>
        <v>1800.1</v>
      </c>
      <c r="F556" s="4"/>
    </row>
    <row r="557" spans="5:6" x14ac:dyDescent="0.35">
      <c r="E557" s="4">
        <f>SUM($F$9:G556)+0.1</f>
        <v>1800.1</v>
      </c>
      <c r="F557" s="4"/>
    </row>
    <row r="558" spans="5:6" x14ac:dyDescent="0.35">
      <c r="E558" s="4">
        <f>SUM($F$9:G557)+0.1</f>
        <v>1800.1</v>
      </c>
      <c r="F558" s="4"/>
    </row>
    <row r="559" spans="5:6" x14ac:dyDescent="0.35">
      <c r="E559" s="4">
        <f>SUM($F$9:G558)+0.1</f>
        <v>1800.1</v>
      </c>
      <c r="F559" s="4"/>
    </row>
    <row r="560" spans="5:6" x14ac:dyDescent="0.35">
      <c r="E560" s="4">
        <f>SUM($F$9:G559)+0.1</f>
        <v>1800.1</v>
      </c>
      <c r="F560" s="4"/>
    </row>
    <row r="561" spans="5:6" x14ac:dyDescent="0.35">
      <c r="E561" s="4">
        <f>SUM($F$9:G560)+0.1</f>
        <v>1800.1</v>
      </c>
      <c r="F561" s="4"/>
    </row>
    <row r="562" spans="5:6" x14ac:dyDescent="0.35">
      <c r="E562" s="4">
        <f>SUM($F$9:G561)+0.1</f>
        <v>1800.1</v>
      </c>
      <c r="F562" s="4"/>
    </row>
    <row r="563" spans="5:6" x14ac:dyDescent="0.35">
      <c r="E563" s="4">
        <f>SUM($F$9:G562)+0.1</f>
        <v>1800.1</v>
      </c>
      <c r="F563" s="4"/>
    </row>
    <row r="564" spans="5:6" x14ac:dyDescent="0.35">
      <c r="E564" s="4">
        <f>SUM($F$9:G563)+0.1</f>
        <v>1800.1</v>
      </c>
      <c r="F564" s="4"/>
    </row>
    <row r="565" spans="5:6" x14ac:dyDescent="0.35">
      <c r="E565" s="4">
        <f>SUM($F$9:G564)+0.1</f>
        <v>1800.1</v>
      </c>
      <c r="F565" s="4"/>
    </row>
    <row r="566" spans="5:6" x14ac:dyDescent="0.35">
      <c r="E566" s="4">
        <f>SUM($F$9:G565)+0.1</f>
        <v>1800.1</v>
      </c>
      <c r="F566" s="4"/>
    </row>
    <row r="567" spans="5:6" x14ac:dyDescent="0.35">
      <c r="E567" s="4">
        <f>SUM($F$9:G566)+0.1</f>
        <v>1800.1</v>
      </c>
      <c r="F567" s="4"/>
    </row>
    <row r="568" spans="5:6" x14ac:dyDescent="0.35">
      <c r="E568" s="4">
        <f>SUM($F$9:G567)+0.1</f>
        <v>1800.1</v>
      </c>
      <c r="F568" s="4"/>
    </row>
    <row r="569" spans="5:6" x14ac:dyDescent="0.35">
      <c r="E569" s="4">
        <f>SUM($F$9:G568)+0.1</f>
        <v>1800.1</v>
      </c>
      <c r="F569" s="4"/>
    </row>
    <row r="570" spans="5:6" x14ac:dyDescent="0.35">
      <c r="E570" s="4">
        <f>SUM($F$9:G569)+0.1</f>
        <v>1800.1</v>
      </c>
      <c r="F570" s="4"/>
    </row>
    <row r="571" spans="5:6" x14ac:dyDescent="0.35">
      <c r="E571" s="4">
        <f>SUM($F$9:G570)+0.1</f>
        <v>1800.1</v>
      </c>
      <c r="F571" s="4"/>
    </row>
    <row r="572" spans="5:6" x14ac:dyDescent="0.35">
      <c r="E572" s="4">
        <f>SUM($F$9:G571)+0.1</f>
        <v>1800.1</v>
      </c>
      <c r="F572" s="4"/>
    </row>
    <row r="573" spans="5:6" x14ac:dyDescent="0.35">
      <c r="E573" s="4">
        <f>SUM($F$9:G572)+0.1</f>
        <v>1800.1</v>
      </c>
      <c r="F573" s="4"/>
    </row>
    <row r="574" spans="5:6" x14ac:dyDescent="0.35">
      <c r="E574" s="4">
        <f>SUM($F$9:G573)+0.1</f>
        <v>1800.1</v>
      </c>
      <c r="F574" s="4"/>
    </row>
    <row r="575" spans="5:6" x14ac:dyDescent="0.35">
      <c r="E575" s="4">
        <f>SUM($F$9:G574)+0.1</f>
        <v>1800.1</v>
      </c>
      <c r="F575" s="4"/>
    </row>
    <row r="576" spans="5:6" x14ac:dyDescent="0.35">
      <c r="E576" s="4">
        <f>SUM($F$9:G575)+0.1</f>
        <v>1800.1</v>
      </c>
      <c r="F576" s="4"/>
    </row>
    <row r="577" spans="5:6" x14ac:dyDescent="0.35">
      <c r="E577" s="4">
        <f>SUM($F$9:G576)+0.1</f>
        <v>1800.1</v>
      </c>
      <c r="F577" s="4"/>
    </row>
    <row r="578" spans="5:6" x14ac:dyDescent="0.35">
      <c r="E578" s="4">
        <f>SUM($F$9:G577)+0.1</f>
        <v>1800.1</v>
      </c>
      <c r="F578" s="4"/>
    </row>
    <row r="579" spans="5:6" x14ac:dyDescent="0.35">
      <c r="E579" s="4">
        <f>SUM($F$9:G578)+0.1</f>
        <v>1800.1</v>
      </c>
      <c r="F579" s="4"/>
    </row>
    <row r="580" spans="5:6" x14ac:dyDescent="0.35">
      <c r="E580" s="4">
        <f>SUM($F$9:G579)+0.1</f>
        <v>1800.1</v>
      </c>
      <c r="F580" s="4"/>
    </row>
    <row r="581" spans="5:6" x14ac:dyDescent="0.35">
      <c r="E581" s="4">
        <f>SUM($F$9:G580)+0.1</f>
        <v>1800.1</v>
      </c>
      <c r="F581" s="4"/>
    </row>
    <row r="582" spans="5:6" x14ac:dyDescent="0.35">
      <c r="E582" s="4">
        <f>SUM($F$9:G581)+0.1</f>
        <v>1800.1</v>
      </c>
      <c r="F582" s="4"/>
    </row>
    <row r="583" spans="5:6" x14ac:dyDescent="0.35">
      <c r="E583" s="4">
        <f>SUM($F$9:G582)+0.1</f>
        <v>1800.1</v>
      </c>
      <c r="F583" s="4"/>
    </row>
    <row r="584" spans="5:6" x14ac:dyDescent="0.35">
      <c r="E584" s="4">
        <f>SUM($F$9:G583)+0.1</f>
        <v>1800.1</v>
      </c>
      <c r="F584" s="4"/>
    </row>
    <row r="585" spans="5:6" x14ac:dyDescent="0.35">
      <c r="E585" s="4">
        <f>SUM($F$9:G584)+0.1</f>
        <v>1800.1</v>
      </c>
      <c r="F585" s="4"/>
    </row>
    <row r="586" spans="5:6" x14ac:dyDescent="0.35">
      <c r="E586" s="4">
        <f>SUM($F$9:G585)+0.1</f>
        <v>1800.1</v>
      </c>
      <c r="F586" s="4"/>
    </row>
    <row r="587" spans="5:6" x14ac:dyDescent="0.35">
      <c r="E587" s="4">
        <f>SUM($F$9:G586)+0.1</f>
        <v>1800.1</v>
      </c>
      <c r="F587" s="4"/>
    </row>
    <row r="588" spans="5:6" x14ac:dyDescent="0.35">
      <c r="E588" s="4">
        <f>SUM($F$9:G587)+0.1</f>
        <v>1800.1</v>
      </c>
      <c r="F588" s="4"/>
    </row>
    <row r="589" spans="5:6" x14ac:dyDescent="0.35">
      <c r="E589" s="4">
        <f>SUM($F$9:G588)+0.1</f>
        <v>1800.1</v>
      </c>
      <c r="F589" s="4"/>
    </row>
    <row r="590" spans="5:6" x14ac:dyDescent="0.35">
      <c r="E590" s="4">
        <f>SUM($F$9:G589)+0.1</f>
        <v>1800.1</v>
      </c>
      <c r="F590" s="4"/>
    </row>
    <row r="591" spans="5:6" x14ac:dyDescent="0.35">
      <c r="E591" s="4">
        <f>SUM($F$9:G590)+0.1</f>
        <v>1800.1</v>
      </c>
      <c r="F591" s="4"/>
    </row>
    <row r="592" spans="5:6" x14ac:dyDescent="0.35">
      <c r="E592" s="4">
        <f>SUM($F$9:G591)+0.1</f>
        <v>1800.1</v>
      </c>
      <c r="F592" s="4"/>
    </row>
    <row r="593" spans="5:6" x14ac:dyDescent="0.35">
      <c r="E593" s="4">
        <f>SUM($F$9:G592)+0.1</f>
        <v>1800.1</v>
      </c>
      <c r="F593" s="4"/>
    </row>
    <row r="594" spans="5:6" x14ac:dyDescent="0.35">
      <c r="E594" s="4">
        <f>SUM($F$9:G593)+0.1</f>
        <v>1800.1</v>
      </c>
      <c r="F594" s="4"/>
    </row>
    <row r="595" spans="5:6" x14ac:dyDescent="0.35">
      <c r="E595" s="4">
        <f>SUM($F$9:G594)+0.1</f>
        <v>1800.1</v>
      </c>
      <c r="F595" s="4"/>
    </row>
    <row r="596" spans="5:6" x14ac:dyDescent="0.35">
      <c r="E596" s="4">
        <f>SUM($F$9:G595)+0.1</f>
        <v>1800.1</v>
      </c>
      <c r="F596" s="4"/>
    </row>
    <row r="597" spans="5:6" x14ac:dyDescent="0.35">
      <c r="E597" s="4">
        <f>SUM($F$9:G596)+0.1</f>
        <v>1800.1</v>
      </c>
      <c r="F597" s="4"/>
    </row>
    <row r="598" spans="5:6" x14ac:dyDescent="0.35">
      <c r="E598" s="4">
        <f>SUM($F$9:G597)+0.1</f>
        <v>1800.1</v>
      </c>
      <c r="F598" s="4"/>
    </row>
    <row r="599" spans="5:6" x14ac:dyDescent="0.35">
      <c r="E599" s="4">
        <f>SUM($F$9:G598)+0.1</f>
        <v>1800.1</v>
      </c>
      <c r="F599" s="4"/>
    </row>
    <row r="600" spans="5:6" x14ac:dyDescent="0.35">
      <c r="E600" s="4">
        <f>SUM($F$9:G599)+0.1</f>
        <v>1800.1</v>
      </c>
      <c r="F600" s="4"/>
    </row>
    <row r="601" spans="5:6" x14ac:dyDescent="0.35">
      <c r="E601" s="4">
        <f>SUM($F$9:G600)+0.1</f>
        <v>1800.1</v>
      </c>
      <c r="F601" s="4"/>
    </row>
    <row r="602" spans="5:6" x14ac:dyDescent="0.35">
      <c r="E602" s="4">
        <f>SUM($F$9:G601)+0.1</f>
        <v>1800.1</v>
      </c>
      <c r="F602" s="4"/>
    </row>
    <row r="603" spans="5:6" x14ac:dyDescent="0.35">
      <c r="E603" s="4">
        <f>SUM($F$9:G602)+0.1</f>
        <v>1800.1</v>
      </c>
      <c r="F603" s="4"/>
    </row>
    <row r="604" spans="5:6" x14ac:dyDescent="0.35">
      <c r="E604" s="4">
        <f>SUM($F$9:G603)+0.1</f>
        <v>1800.1</v>
      </c>
      <c r="F604" s="4"/>
    </row>
    <row r="605" spans="5:6" x14ac:dyDescent="0.35">
      <c r="E605" s="4">
        <f>SUM($F$9:G604)+0.1</f>
        <v>1800.1</v>
      </c>
      <c r="F605" s="4"/>
    </row>
    <row r="606" spans="5:6" x14ac:dyDescent="0.35">
      <c r="E606" s="4">
        <f>SUM($F$9:G605)+0.1</f>
        <v>1800.1</v>
      </c>
      <c r="F606" s="4"/>
    </row>
    <row r="607" spans="5:6" x14ac:dyDescent="0.35">
      <c r="E607" s="4">
        <f>SUM($F$9:G606)+0.1</f>
        <v>1800.1</v>
      </c>
      <c r="F607" s="4"/>
    </row>
    <row r="608" spans="5:6" x14ac:dyDescent="0.35">
      <c r="E608" s="4">
        <f>SUM($F$9:G607)+0.1</f>
        <v>1800.1</v>
      </c>
      <c r="F608" s="4"/>
    </row>
    <row r="609" spans="5:6" x14ac:dyDescent="0.35">
      <c r="E609" s="4">
        <f>SUM($F$9:G608)+0.1</f>
        <v>1800.1</v>
      </c>
      <c r="F609" s="4"/>
    </row>
    <row r="610" spans="5:6" x14ac:dyDescent="0.35">
      <c r="E610" s="4">
        <f>SUM($F$9:G609)+0.1</f>
        <v>1800.1</v>
      </c>
      <c r="F610" s="4"/>
    </row>
    <row r="611" spans="5:6" x14ac:dyDescent="0.35">
      <c r="E611" s="4">
        <f>SUM($F$9:G610)+0.1</f>
        <v>1800.1</v>
      </c>
      <c r="F611" s="4"/>
    </row>
    <row r="612" spans="5:6" x14ac:dyDescent="0.35">
      <c r="E612" s="4">
        <f>SUM($F$9:G611)+0.1</f>
        <v>1800.1</v>
      </c>
      <c r="F612" s="4"/>
    </row>
    <row r="613" spans="5:6" x14ac:dyDescent="0.35">
      <c r="E613" s="4">
        <f>SUM($F$9:G612)+0.1</f>
        <v>1800.1</v>
      </c>
      <c r="F613" s="4"/>
    </row>
    <row r="614" spans="5:6" x14ac:dyDescent="0.35">
      <c r="E614" s="4">
        <f>SUM($F$9:G613)+0.1</f>
        <v>1800.1</v>
      </c>
      <c r="F614" s="4"/>
    </row>
    <row r="615" spans="5:6" x14ac:dyDescent="0.35">
      <c r="E615" s="4">
        <f>SUM($F$9:G614)+0.1</f>
        <v>1800.1</v>
      </c>
      <c r="F615" s="4"/>
    </row>
    <row r="616" spans="5:6" x14ac:dyDescent="0.35">
      <c r="E616" s="4">
        <f>SUM($F$9:G615)+0.1</f>
        <v>1800.1</v>
      </c>
      <c r="F616" s="4"/>
    </row>
    <row r="617" spans="5:6" x14ac:dyDescent="0.35">
      <c r="E617" s="4">
        <f>SUM($F$9:G616)+0.1</f>
        <v>1800.1</v>
      </c>
      <c r="F617" s="4"/>
    </row>
    <row r="618" spans="5:6" x14ac:dyDescent="0.35">
      <c r="E618" s="4">
        <f>SUM($F$9:G617)+0.1</f>
        <v>1800.1</v>
      </c>
      <c r="F618" s="4"/>
    </row>
    <row r="619" spans="5:6" x14ac:dyDescent="0.35">
      <c r="E619" s="4">
        <f>SUM($F$9:G618)+0.1</f>
        <v>1800.1</v>
      </c>
      <c r="F619" s="4"/>
    </row>
    <row r="620" spans="5:6" x14ac:dyDescent="0.35">
      <c r="E620" s="4">
        <f>SUM($F$9:G619)+0.1</f>
        <v>1800.1</v>
      </c>
      <c r="F620" s="4"/>
    </row>
    <row r="621" spans="5:6" x14ac:dyDescent="0.35">
      <c r="E621" s="4">
        <f>SUM($F$9:G620)+0.1</f>
        <v>1800.1</v>
      </c>
      <c r="F621" s="4"/>
    </row>
    <row r="622" spans="5:6" x14ac:dyDescent="0.35">
      <c r="E622" s="4">
        <f>SUM($F$9:G621)+0.1</f>
        <v>1800.1</v>
      </c>
      <c r="F622" s="4"/>
    </row>
    <row r="623" spans="5:6" x14ac:dyDescent="0.35">
      <c r="E623" s="4">
        <f>SUM($F$9:G622)+0.1</f>
        <v>1800.1</v>
      </c>
      <c r="F623" s="4"/>
    </row>
    <row r="624" spans="5:6" x14ac:dyDescent="0.35">
      <c r="E624" s="4">
        <f>SUM($F$9:G623)+0.1</f>
        <v>1800.1</v>
      </c>
      <c r="F624" s="4"/>
    </row>
    <row r="625" spans="5:6" x14ac:dyDescent="0.35">
      <c r="E625" s="4">
        <f>SUM($F$9:G624)+0.1</f>
        <v>1800.1</v>
      </c>
      <c r="F625" s="4"/>
    </row>
    <row r="626" spans="5:6" x14ac:dyDescent="0.35">
      <c r="E626" s="4">
        <f>SUM($F$9:G625)+0.1</f>
        <v>1800.1</v>
      </c>
      <c r="F626" s="4"/>
    </row>
    <row r="627" spans="5:6" x14ac:dyDescent="0.35">
      <c r="E627" s="4">
        <f>SUM($F$9:G626)+0.1</f>
        <v>1800.1</v>
      </c>
      <c r="F627" s="4"/>
    </row>
    <row r="628" spans="5:6" x14ac:dyDescent="0.35">
      <c r="E628" s="4">
        <f>SUM($F$9:G627)+0.1</f>
        <v>1800.1</v>
      </c>
      <c r="F628" s="4"/>
    </row>
    <row r="629" spans="5:6" x14ac:dyDescent="0.35">
      <c r="E629" s="4">
        <f>SUM($F$9:G628)+0.1</f>
        <v>1800.1</v>
      </c>
      <c r="F629" s="4"/>
    </row>
    <row r="630" spans="5:6" x14ac:dyDescent="0.35">
      <c r="E630" s="4">
        <f>SUM($F$9:G629)+0.1</f>
        <v>1800.1</v>
      </c>
      <c r="F630" s="4"/>
    </row>
    <row r="631" spans="5:6" x14ac:dyDescent="0.35">
      <c r="E631" s="4">
        <f>SUM($F$9:G630)+0.1</f>
        <v>1800.1</v>
      </c>
      <c r="F631" s="4"/>
    </row>
    <row r="632" spans="5:6" x14ac:dyDescent="0.35">
      <c r="E632" s="4">
        <f>SUM($F$9:G631)+0.1</f>
        <v>1800.1</v>
      </c>
      <c r="F632" s="4"/>
    </row>
    <row r="633" spans="5:6" x14ac:dyDescent="0.35">
      <c r="E633" s="4">
        <f>SUM($F$9:G632)+0.1</f>
        <v>1800.1</v>
      </c>
      <c r="F633" s="4"/>
    </row>
    <row r="634" spans="5:6" x14ac:dyDescent="0.35">
      <c r="E634" s="4">
        <f>SUM($F$9:G633)+0.1</f>
        <v>1800.1</v>
      </c>
      <c r="F634" s="4"/>
    </row>
    <row r="635" spans="5:6" x14ac:dyDescent="0.35">
      <c r="E635" s="4">
        <f>SUM($F$9:G634)+0.1</f>
        <v>1800.1</v>
      </c>
      <c r="F635" s="4"/>
    </row>
    <row r="636" spans="5:6" x14ac:dyDescent="0.35">
      <c r="E636" s="4">
        <f>SUM($F$9:G635)+0.1</f>
        <v>1800.1</v>
      </c>
      <c r="F636" s="4"/>
    </row>
    <row r="637" spans="5:6" x14ac:dyDescent="0.35">
      <c r="E637" s="4">
        <f>SUM($F$9:G636)+0.1</f>
        <v>1800.1</v>
      </c>
      <c r="F637" s="4"/>
    </row>
    <row r="638" spans="5:6" x14ac:dyDescent="0.35">
      <c r="E638" s="4">
        <f>SUM($F$9:G637)+0.1</f>
        <v>1800.1</v>
      </c>
      <c r="F638" s="4"/>
    </row>
    <row r="639" spans="5:6" x14ac:dyDescent="0.35">
      <c r="E639" s="4">
        <f>SUM($F$9:G638)+0.1</f>
        <v>1800.1</v>
      </c>
      <c r="F639" s="4"/>
    </row>
    <row r="640" spans="5:6" x14ac:dyDescent="0.35">
      <c r="E640" s="4">
        <f>SUM($F$9:G639)+0.1</f>
        <v>1800.1</v>
      </c>
      <c r="F640" s="4"/>
    </row>
    <row r="641" spans="5:6" x14ac:dyDescent="0.35">
      <c r="E641" s="4">
        <f>SUM($F$9:G640)+0.1</f>
        <v>1800.1</v>
      </c>
      <c r="F641" s="4"/>
    </row>
    <row r="642" spans="5:6" x14ac:dyDescent="0.35">
      <c r="E642" s="4">
        <f>SUM($F$9:G641)+0.1</f>
        <v>1800.1</v>
      </c>
      <c r="F642" s="4"/>
    </row>
    <row r="643" spans="5:6" x14ac:dyDescent="0.35">
      <c r="E643" s="4">
        <f>SUM($F$9:G642)+0.1</f>
        <v>1800.1</v>
      </c>
      <c r="F643" s="4"/>
    </row>
    <row r="644" spans="5:6" x14ac:dyDescent="0.35">
      <c r="E644" s="4">
        <f>SUM($F$9:G643)+0.1</f>
        <v>1800.1</v>
      </c>
      <c r="F644" s="4"/>
    </row>
    <row r="645" spans="5:6" x14ac:dyDescent="0.35">
      <c r="E645" s="4">
        <f>SUM($F$9:G644)+0.1</f>
        <v>1800.1</v>
      </c>
      <c r="F645" s="4"/>
    </row>
    <row r="646" spans="5:6" x14ac:dyDescent="0.35">
      <c r="E646" s="4">
        <f>SUM($F$9:G645)+0.1</f>
        <v>1800.1</v>
      </c>
      <c r="F646" s="4"/>
    </row>
    <row r="647" spans="5:6" x14ac:dyDescent="0.35">
      <c r="E647" s="4">
        <f>SUM($F$9:G646)+0.1</f>
        <v>1800.1</v>
      </c>
      <c r="F647" s="4"/>
    </row>
    <row r="648" spans="5:6" x14ac:dyDescent="0.35">
      <c r="E648" s="4">
        <f>SUM($F$9:G647)+0.1</f>
        <v>1800.1</v>
      </c>
      <c r="F648" s="4"/>
    </row>
    <row r="649" spans="5:6" x14ac:dyDescent="0.35">
      <c r="E649" s="4">
        <f>SUM($F$9:G648)+0.1</f>
        <v>1800.1</v>
      </c>
      <c r="F649" s="4"/>
    </row>
    <row r="650" spans="5:6" x14ac:dyDescent="0.35">
      <c r="E650" s="4">
        <f>SUM($F$9:G649)+0.1</f>
        <v>1800.1</v>
      </c>
      <c r="F650" s="4"/>
    </row>
    <row r="651" spans="5:6" x14ac:dyDescent="0.35">
      <c r="E651" s="4">
        <f>SUM($F$9:G650)+0.1</f>
        <v>1800.1</v>
      </c>
      <c r="F651" s="4"/>
    </row>
    <row r="652" spans="5:6" x14ac:dyDescent="0.35">
      <c r="E652" s="4">
        <f>SUM($F$9:G651)+0.1</f>
        <v>1800.1</v>
      </c>
      <c r="F652" s="4"/>
    </row>
    <row r="653" spans="5:6" x14ac:dyDescent="0.35">
      <c r="E653" s="4">
        <f>SUM($F$9:G652)+0.1</f>
        <v>1800.1</v>
      </c>
      <c r="F653" s="4"/>
    </row>
    <row r="654" spans="5:6" x14ac:dyDescent="0.35">
      <c r="E654" s="4">
        <f>SUM($F$9:G653)+0.1</f>
        <v>1800.1</v>
      </c>
      <c r="F654" s="4"/>
    </row>
    <row r="655" spans="5:6" x14ac:dyDescent="0.35">
      <c r="E655" s="4">
        <f>SUM($F$9:G654)+0.1</f>
        <v>1800.1</v>
      </c>
      <c r="F655" s="4"/>
    </row>
    <row r="656" spans="5:6" x14ac:dyDescent="0.35">
      <c r="E656" s="4">
        <f>SUM($F$9:G655)+0.1</f>
        <v>1800.1</v>
      </c>
      <c r="F656" s="4"/>
    </row>
    <row r="657" spans="5:6" x14ac:dyDescent="0.35">
      <c r="E657" s="4">
        <f>SUM($F$9:G656)+0.1</f>
        <v>1800.1</v>
      </c>
      <c r="F657" s="4"/>
    </row>
    <row r="658" spans="5:6" x14ac:dyDescent="0.35">
      <c r="E658" s="4">
        <f>SUM($F$9:G657)+0.1</f>
        <v>1800.1</v>
      </c>
      <c r="F658" s="4"/>
    </row>
    <row r="659" spans="5:6" x14ac:dyDescent="0.35">
      <c r="E659" s="4">
        <f>SUM($F$9:G658)+0.1</f>
        <v>1800.1</v>
      </c>
      <c r="F659" s="4"/>
    </row>
    <row r="660" spans="5:6" x14ac:dyDescent="0.35">
      <c r="E660" s="4">
        <f>SUM($F$9:G659)+0.1</f>
        <v>1800.1</v>
      </c>
      <c r="F660" s="4"/>
    </row>
    <row r="661" spans="5:6" x14ac:dyDescent="0.35">
      <c r="E661" s="4">
        <f>SUM($F$9:G660)+0.1</f>
        <v>1800.1</v>
      </c>
      <c r="F661" s="4"/>
    </row>
    <row r="662" spans="5:6" x14ac:dyDescent="0.35">
      <c r="E662" s="4">
        <f>SUM($F$9:G661)+0.1</f>
        <v>1800.1</v>
      </c>
      <c r="F662" s="4"/>
    </row>
    <row r="663" spans="5:6" x14ac:dyDescent="0.35">
      <c r="E663" s="4">
        <f>SUM($F$9:G662)+0.1</f>
        <v>1800.1</v>
      </c>
      <c r="F663" s="4"/>
    </row>
    <row r="664" spans="5:6" x14ac:dyDescent="0.35">
      <c r="E664" s="4">
        <f>SUM($F$9:G663)+0.1</f>
        <v>1800.1</v>
      </c>
      <c r="F664" s="4"/>
    </row>
    <row r="665" spans="5:6" x14ac:dyDescent="0.35">
      <c r="E665" s="4">
        <f>SUM($F$9:G664)+0.1</f>
        <v>1800.1</v>
      </c>
      <c r="F665" s="4"/>
    </row>
    <row r="666" spans="5:6" x14ac:dyDescent="0.35">
      <c r="E666" s="4">
        <f>SUM($F$9:G665)+0.1</f>
        <v>1800.1</v>
      </c>
      <c r="F666" s="4"/>
    </row>
    <row r="667" spans="5:6" x14ac:dyDescent="0.35">
      <c r="E667" s="4">
        <f>SUM($F$9:G666)+0.1</f>
        <v>1800.1</v>
      </c>
      <c r="F667" s="4"/>
    </row>
    <row r="668" spans="5:6" x14ac:dyDescent="0.35">
      <c r="E668" s="4">
        <f>SUM($F$9:G667)+0.1</f>
        <v>1800.1</v>
      </c>
      <c r="F668" s="4"/>
    </row>
    <row r="669" spans="5:6" x14ac:dyDescent="0.35">
      <c r="E669" s="4">
        <f>SUM($F$9:G668)+0.1</f>
        <v>1800.1</v>
      </c>
      <c r="F669" s="4"/>
    </row>
    <row r="670" spans="5:6" x14ac:dyDescent="0.35">
      <c r="E670" s="4">
        <f>SUM($F$9:G669)+0.1</f>
        <v>1800.1</v>
      </c>
      <c r="F670" s="4"/>
    </row>
    <row r="671" spans="5:6" x14ac:dyDescent="0.35">
      <c r="E671" s="4">
        <f>SUM($F$9:G670)+0.1</f>
        <v>1800.1</v>
      </c>
      <c r="F671" s="4"/>
    </row>
    <row r="672" spans="5:6" x14ac:dyDescent="0.35">
      <c r="E672" s="4">
        <f>SUM($F$9:G671)+0.1</f>
        <v>1800.1</v>
      </c>
      <c r="F672" s="4"/>
    </row>
    <row r="673" spans="5:6" x14ac:dyDescent="0.35">
      <c r="E673" s="4">
        <f>SUM($F$9:G672)+0.1</f>
        <v>1800.1</v>
      </c>
      <c r="F673" s="4"/>
    </row>
    <row r="674" spans="5:6" x14ac:dyDescent="0.35">
      <c r="E674" s="4">
        <f>SUM($F$9:G673)+0.1</f>
        <v>1800.1</v>
      </c>
      <c r="F674" s="4"/>
    </row>
    <row r="675" spans="5:6" x14ac:dyDescent="0.35">
      <c r="E675" s="4">
        <f>SUM($F$9:G674)+0.1</f>
        <v>1800.1</v>
      </c>
      <c r="F675" s="4"/>
    </row>
    <row r="676" spans="5:6" x14ac:dyDescent="0.35">
      <c r="E676" s="4">
        <f>SUM($F$9:G675)+0.1</f>
        <v>1800.1</v>
      </c>
      <c r="F676" s="4"/>
    </row>
    <row r="677" spans="5:6" x14ac:dyDescent="0.35">
      <c r="E677" s="4">
        <f>SUM($F$9:G676)+0.1</f>
        <v>1800.1</v>
      </c>
      <c r="F677" s="4"/>
    </row>
    <row r="678" spans="5:6" x14ac:dyDescent="0.35">
      <c r="E678" s="4">
        <f>SUM($F$9:G677)+0.1</f>
        <v>1800.1</v>
      </c>
      <c r="F678" s="4"/>
    </row>
    <row r="679" spans="5:6" x14ac:dyDescent="0.35">
      <c r="E679" s="4">
        <f>SUM($F$9:G678)+0.1</f>
        <v>1800.1</v>
      </c>
      <c r="F679" s="4"/>
    </row>
    <row r="680" spans="5:6" x14ac:dyDescent="0.35">
      <c r="E680" s="4">
        <f>SUM($F$9:G679)+0.1</f>
        <v>1800.1</v>
      </c>
      <c r="F680" s="4"/>
    </row>
    <row r="681" spans="5:6" x14ac:dyDescent="0.35">
      <c r="E681" s="4">
        <f>SUM($F$9:G680)+0.1</f>
        <v>1800.1</v>
      </c>
      <c r="F681" s="4"/>
    </row>
    <row r="682" spans="5:6" x14ac:dyDescent="0.35">
      <c r="E682" s="4">
        <f>SUM($F$9:G681)+0.1</f>
        <v>1800.1</v>
      </c>
      <c r="F682" s="4"/>
    </row>
    <row r="683" spans="5:6" x14ac:dyDescent="0.35">
      <c r="E683" s="4">
        <f>SUM($F$9:G682)+0.1</f>
        <v>1800.1</v>
      </c>
      <c r="F683" s="4"/>
    </row>
    <row r="684" spans="5:6" x14ac:dyDescent="0.35">
      <c r="E684" s="4">
        <f>SUM($F$9:G683)+0.1</f>
        <v>1800.1</v>
      </c>
      <c r="F684" s="4"/>
    </row>
    <row r="685" spans="5:6" x14ac:dyDescent="0.35">
      <c r="E685" s="4">
        <f>SUM($F$9:G684)+0.1</f>
        <v>1800.1</v>
      </c>
      <c r="F685" s="4"/>
    </row>
    <row r="686" spans="5:6" x14ac:dyDescent="0.35">
      <c r="E686" s="4">
        <f>SUM($F$9:G685)+0.1</f>
        <v>1800.1</v>
      </c>
      <c r="F686" s="4"/>
    </row>
    <row r="687" spans="5:6" x14ac:dyDescent="0.35">
      <c r="E687" s="4">
        <f>SUM($F$9:G686)+0.1</f>
        <v>1800.1</v>
      </c>
      <c r="F687" s="4"/>
    </row>
    <row r="688" spans="5:6" x14ac:dyDescent="0.35">
      <c r="E688" s="4">
        <f>SUM($F$9:G687)+0.1</f>
        <v>1800.1</v>
      </c>
      <c r="F688" s="4"/>
    </row>
    <row r="689" spans="5:6" x14ac:dyDescent="0.35">
      <c r="E689" s="4">
        <f>SUM($F$9:G688)+0.1</f>
        <v>1800.1</v>
      </c>
      <c r="F689" s="4"/>
    </row>
    <row r="690" spans="5:6" x14ac:dyDescent="0.35">
      <c r="E690" s="4">
        <f>SUM($F$9:G689)+0.1</f>
        <v>1800.1</v>
      </c>
      <c r="F690" s="4"/>
    </row>
    <row r="691" spans="5:6" x14ac:dyDescent="0.35">
      <c r="E691" s="4">
        <f>SUM($F$9:G690)+0.1</f>
        <v>1800.1</v>
      </c>
      <c r="F691" s="4"/>
    </row>
    <row r="692" spans="5:6" x14ac:dyDescent="0.35">
      <c r="E692" s="4">
        <f>SUM($F$9:G691)+0.1</f>
        <v>1800.1</v>
      </c>
      <c r="F692" s="4"/>
    </row>
    <row r="693" spans="5:6" x14ac:dyDescent="0.35">
      <c r="E693" s="4">
        <f>SUM($F$9:G692)+0.1</f>
        <v>1800.1</v>
      </c>
      <c r="F693" s="4"/>
    </row>
    <row r="694" spans="5:6" x14ac:dyDescent="0.35">
      <c r="E694" s="4">
        <f>SUM($F$9:G693)+0.1</f>
        <v>1800.1</v>
      </c>
      <c r="F694" s="4"/>
    </row>
    <row r="695" spans="5:6" x14ac:dyDescent="0.35">
      <c r="E695" s="4">
        <f>SUM($F$9:G694)+0.1</f>
        <v>1800.1</v>
      </c>
      <c r="F695" s="4"/>
    </row>
    <row r="696" spans="5:6" x14ac:dyDescent="0.35">
      <c r="E696" s="4">
        <f>SUM($F$9:G695)+0.1</f>
        <v>1800.1</v>
      </c>
      <c r="F696" s="4"/>
    </row>
    <row r="697" spans="5:6" x14ac:dyDescent="0.35">
      <c r="E697" s="4">
        <f>SUM($F$9:G696)+0.1</f>
        <v>1800.1</v>
      </c>
      <c r="F697" s="4"/>
    </row>
    <row r="698" spans="5:6" x14ac:dyDescent="0.35">
      <c r="E698" s="4">
        <f>SUM($F$9:G697)+0.1</f>
        <v>1800.1</v>
      </c>
      <c r="F698" s="4"/>
    </row>
    <row r="699" spans="5:6" x14ac:dyDescent="0.35">
      <c r="E699" s="4">
        <f>SUM($F$9:G698)+0.1</f>
        <v>1800.1</v>
      </c>
      <c r="F699" s="4"/>
    </row>
    <row r="700" spans="5:6" x14ac:dyDescent="0.35">
      <c r="E700" s="4">
        <f>SUM($F$9:G699)+0.1</f>
        <v>1800.1</v>
      </c>
      <c r="F700" s="4"/>
    </row>
    <row r="701" spans="5:6" x14ac:dyDescent="0.35">
      <c r="E701" s="4">
        <f>SUM($F$9:G700)+0.1</f>
        <v>1800.1</v>
      </c>
      <c r="F701" s="4"/>
    </row>
    <row r="702" spans="5:6" x14ac:dyDescent="0.35">
      <c r="E702" s="4">
        <f>SUM($F$9:G701)+0.1</f>
        <v>1800.1</v>
      </c>
      <c r="F702" s="4"/>
    </row>
    <row r="703" spans="5:6" x14ac:dyDescent="0.35">
      <c r="E703" s="4">
        <f>SUM($F$9:G702)+0.1</f>
        <v>1800.1</v>
      </c>
      <c r="F703" s="4"/>
    </row>
    <row r="704" spans="5:6" x14ac:dyDescent="0.35">
      <c r="E704" s="4">
        <f>SUM($F$9:G703)+0.1</f>
        <v>1800.1</v>
      </c>
      <c r="F704" s="4"/>
    </row>
    <row r="705" spans="5:6" x14ac:dyDescent="0.35">
      <c r="E705" s="4">
        <f>SUM($F$9:G704)+0.1</f>
        <v>1800.1</v>
      </c>
      <c r="F705" s="4"/>
    </row>
    <row r="706" spans="5:6" x14ac:dyDescent="0.35">
      <c r="E706" s="4">
        <f>SUM($F$9:G705)+0.1</f>
        <v>1800.1</v>
      </c>
      <c r="F706" s="4"/>
    </row>
    <row r="707" spans="5:6" x14ac:dyDescent="0.35">
      <c r="E707" s="4">
        <f>SUM($F$9:G706)+0.1</f>
        <v>1800.1</v>
      </c>
      <c r="F707" s="4"/>
    </row>
    <row r="708" spans="5:6" x14ac:dyDescent="0.35">
      <c r="E708" s="4">
        <f>SUM($F$9:G707)+0.1</f>
        <v>1800.1</v>
      </c>
      <c r="F708" s="4"/>
    </row>
    <row r="709" spans="5:6" x14ac:dyDescent="0.35">
      <c r="E709" s="4">
        <f>SUM($F$9:G708)+0.1</f>
        <v>1800.1</v>
      </c>
      <c r="F709" s="4"/>
    </row>
    <row r="710" spans="5:6" x14ac:dyDescent="0.35">
      <c r="E710" s="4">
        <f>SUM($F$9:G709)+0.1</f>
        <v>1800.1</v>
      </c>
      <c r="F710" s="4"/>
    </row>
    <row r="711" spans="5:6" x14ac:dyDescent="0.35">
      <c r="E711" s="4">
        <f>SUM($F$9:G710)+0.1</f>
        <v>1800.1</v>
      </c>
      <c r="F711" s="4"/>
    </row>
    <row r="712" spans="5:6" x14ac:dyDescent="0.35">
      <c r="E712" s="4">
        <f>SUM($F$9:G711)+0.1</f>
        <v>1800.1</v>
      </c>
      <c r="F712" s="4"/>
    </row>
    <row r="713" spans="5:6" x14ac:dyDescent="0.35">
      <c r="E713" s="4">
        <f>SUM($F$9:G712)+0.1</f>
        <v>1800.1</v>
      </c>
      <c r="F713" s="4"/>
    </row>
    <row r="714" spans="5:6" x14ac:dyDescent="0.35">
      <c r="E714" s="4">
        <f>SUM($F$9:G713)+0.1</f>
        <v>1800.1</v>
      </c>
      <c r="F714" s="4"/>
    </row>
    <row r="715" spans="5:6" x14ac:dyDescent="0.35">
      <c r="E715" s="4">
        <f>SUM($F$9:G714)+0.1</f>
        <v>1800.1</v>
      </c>
      <c r="F715" s="4"/>
    </row>
    <row r="716" spans="5:6" x14ac:dyDescent="0.35">
      <c r="E716" s="4">
        <f>SUM($F$9:G715)+0.1</f>
        <v>1800.1</v>
      </c>
      <c r="F716" s="4"/>
    </row>
    <row r="717" spans="5:6" x14ac:dyDescent="0.35">
      <c r="E717" s="4">
        <f>SUM($F$9:G716)+0.1</f>
        <v>1800.1</v>
      </c>
      <c r="F717" s="4"/>
    </row>
    <row r="718" spans="5:6" x14ac:dyDescent="0.35">
      <c r="E718" s="4">
        <f>SUM($F$9:G717)+0.1</f>
        <v>1800.1</v>
      </c>
      <c r="F718" s="4"/>
    </row>
    <row r="719" spans="5:6" x14ac:dyDescent="0.35">
      <c r="E719" s="4">
        <f>SUM($F$9:G718)+0.1</f>
        <v>1800.1</v>
      </c>
      <c r="F719" s="4"/>
    </row>
    <row r="720" spans="5:6" x14ac:dyDescent="0.35">
      <c r="E720" s="4">
        <f>SUM($F$9:G719)+0.1</f>
        <v>1800.1</v>
      </c>
      <c r="F720" s="4"/>
    </row>
    <row r="721" spans="5:6" x14ac:dyDescent="0.35">
      <c r="E721" s="4">
        <f>SUM($F$9:G720)+0.1</f>
        <v>1800.1</v>
      </c>
      <c r="F721" s="4"/>
    </row>
    <row r="722" spans="5:6" x14ac:dyDescent="0.35">
      <c r="E722" s="4">
        <f>SUM($F$9:G721)+0.1</f>
        <v>1800.1</v>
      </c>
      <c r="F722" s="4"/>
    </row>
    <row r="723" spans="5:6" x14ac:dyDescent="0.35">
      <c r="E723" s="4">
        <f>SUM($F$9:G722)+0.1</f>
        <v>1800.1</v>
      </c>
      <c r="F723" s="4"/>
    </row>
    <row r="724" spans="5:6" x14ac:dyDescent="0.35">
      <c r="E724" s="4">
        <f>SUM($F$9:G723)+0.1</f>
        <v>1800.1</v>
      </c>
      <c r="F724" s="4"/>
    </row>
    <row r="725" spans="5:6" x14ac:dyDescent="0.35">
      <c r="E725" s="4">
        <f>SUM($F$9:G724)+0.1</f>
        <v>1800.1</v>
      </c>
      <c r="F725" s="4"/>
    </row>
    <row r="726" spans="5:6" x14ac:dyDescent="0.35">
      <c r="E726" s="4">
        <f>SUM($F$9:G725)+0.1</f>
        <v>1800.1</v>
      </c>
      <c r="F726" s="4"/>
    </row>
    <row r="727" spans="5:6" x14ac:dyDescent="0.35">
      <c r="E727" s="4">
        <f>SUM($F$9:G726)+0.1</f>
        <v>1800.1</v>
      </c>
      <c r="F727" s="4"/>
    </row>
    <row r="728" spans="5:6" x14ac:dyDescent="0.35">
      <c r="E728" s="4">
        <f>SUM($F$9:G727)+0.1</f>
        <v>1800.1</v>
      </c>
      <c r="F728" s="4"/>
    </row>
    <row r="729" spans="5:6" x14ac:dyDescent="0.35">
      <c r="E729" s="4">
        <f>SUM($F$9:G728)+0.1</f>
        <v>1800.1</v>
      </c>
      <c r="F729" s="4"/>
    </row>
    <row r="730" spans="5:6" x14ac:dyDescent="0.35">
      <c r="E730" s="4">
        <f>SUM($F$9:G729)+0.1</f>
        <v>1800.1</v>
      </c>
      <c r="F730" s="4"/>
    </row>
    <row r="731" spans="5:6" x14ac:dyDescent="0.35">
      <c r="E731" s="4">
        <f>SUM($F$9:G730)+0.1</f>
        <v>1800.1</v>
      </c>
      <c r="F731" s="4"/>
    </row>
    <row r="732" spans="5:6" x14ac:dyDescent="0.35">
      <c r="E732" s="4">
        <f>SUM($F$9:G731)+0.1</f>
        <v>1800.1</v>
      </c>
      <c r="F732" s="4"/>
    </row>
    <row r="733" spans="5:6" x14ac:dyDescent="0.35">
      <c r="E733" s="4">
        <f>SUM($F$9:G732)+0.1</f>
        <v>1800.1</v>
      </c>
      <c r="F733" s="4"/>
    </row>
    <row r="734" spans="5:6" x14ac:dyDescent="0.35">
      <c r="E734" s="4">
        <f>SUM($F$9:G733)+0.1</f>
        <v>1800.1</v>
      </c>
      <c r="F734" s="4"/>
    </row>
    <row r="735" spans="5:6" x14ac:dyDescent="0.35">
      <c r="E735" s="4">
        <f>SUM($F$9:G734)+0.1</f>
        <v>1800.1</v>
      </c>
      <c r="F735" s="4"/>
    </row>
    <row r="736" spans="5:6" x14ac:dyDescent="0.35">
      <c r="E736" s="4">
        <f>SUM($F$9:G735)+0.1</f>
        <v>1800.1</v>
      </c>
      <c r="F736" s="4"/>
    </row>
    <row r="737" spans="5:6" x14ac:dyDescent="0.35">
      <c r="E737" s="4">
        <f>SUM($F$9:G736)+0.1</f>
        <v>1800.1</v>
      </c>
      <c r="F737" s="4"/>
    </row>
    <row r="738" spans="5:6" x14ac:dyDescent="0.35">
      <c r="E738" s="4">
        <f>SUM($F$9:G737)+0.1</f>
        <v>1800.1</v>
      </c>
      <c r="F738" s="4"/>
    </row>
    <row r="739" spans="5:6" x14ac:dyDescent="0.35">
      <c r="E739" s="4">
        <f>SUM($F$9:G738)+0.1</f>
        <v>1800.1</v>
      </c>
      <c r="F739" s="4"/>
    </row>
    <row r="740" spans="5:6" x14ac:dyDescent="0.35">
      <c r="E740" s="4">
        <f>SUM($F$9:G739)+0.1</f>
        <v>1800.1</v>
      </c>
      <c r="F740" s="4"/>
    </row>
    <row r="741" spans="5:6" x14ac:dyDescent="0.35">
      <c r="E741" s="4">
        <f>SUM($F$9:G740)+0.1</f>
        <v>1800.1</v>
      </c>
      <c r="F741" s="4"/>
    </row>
    <row r="742" spans="5:6" x14ac:dyDescent="0.35">
      <c r="E742" s="4">
        <f>SUM($F$9:G741)+0.1</f>
        <v>1800.1</v>
      </c>
      <c r="F742" s="4"/>
    </row>
    <row r="743" spans="5:6" x14ac:dyDescent="0.35">
      <c r="E743" s="4">
        <f>SUM($F$9:G742)+0.1</f>
        <v>1800.1</v>
      </c>
      <c r="F743" s="4"/>
    </row>
    <row r="744" spans="5:6" x14ac:dyDescent="0.35">
      <c r="E744" s="4">
        <f>SUM($F$9:G743)+0.1</f>
        <v>1800.1</v>
      </c>
      <c r="F744" s="4"/>
    </row>
    <row r="745" spans="5:6" x14ac:dyDescent="0.35">
      <c r="E745" s="4">
        <f>SUM($F$9:G744)+0.1</f>
        <v>1800.1</v>
      </c>
      <c r="F745" s="4"/>
    </row>
    <row r="746" spans="5:6" x14ac:dyDescent="0.35">
      <c r="E746" s="4">
        <f>SUM($F$9:G745)+0.1</f>
        <v>1800.1</v>
      </c>
      <c r="F746" s="4"/>
    </row>
    <row r="747" spans="5:6" x14ac:dyDescent="0.35">
      <c r="E747" s="4">
        <f>SUM($F$9:G746)+0.1</f>
        <v>1800.1</v>
      </c>
      <c r="F747" s="4"/>
    </row>
    <row r="748" spans="5:6" x14ac:dyDescent="0.35">
      <c r="E748" s="4">
        <f>SUM($F$9:G747)+0.1</f>
        <v>1800.1</v>
      </c>
      <c r="F748" s="4"/>
    </row>
    <row r="749" spans="5:6" x14ac:dyDescent="0.35">
      <c r="E749" s="4">
        <f>SUM($F$9:G748)+0.1</f>
        <v>1800.1</v>
      </c>
      <c r="F749" s="4"/>
    </row>
    <row r="750" spans="5:6" x14ac:dyDescent="0.35">
      <c r="E750" s="4">
        <f>SUM($F$9:G749)+0.1</f>
        <v>1800.1</v>
      </c>
      <c r="F750" s="4"/>
    </row>
    <row r="751" spans="5:6" x14ac:dyDescent="0.35">
      <c r="E751" s="4">
        <f>SUM($F$9:G750)+0.1</f>
        <v>1800.1</v>
      </c>
      <c r="F751" s="4"/>
    </row>
    <row r="752" spans="5:6" x14ac:dyDescent="0.35">
      <c r="E752" s="4">
        <f>SUM($F$9:G751)+0.1</f>
        <v>1800.1</v>
      </c>
      <c r="F752" s="4"/>
    </row>
    <row r="753" spans="5:6" x14ac:dyDescent="0.35">
      <c r="E753" s="4">
        <f>SUM($F$9:G752)+0.1</f>
        <v>1800.1</v>
      </c>
      <c r="F753" s="4"/>
    </row>
    <row r="754" spans="5:6" x14ac:dyDescent="0.35">
      <c r="E754" s="4">
        <f>SUM($F$9:G753)+0.1</f>
        <v>1800.1</v>
      </c>
      <c r="F754" s="4"/>
    </row>
    <row r="755" spans="5:6" x14ac:dyDescent="0.35">
      <c r="E755" s="4">
        <f>SUM($F$9:G754)+0.1</f>
        <v>1800.1</v>
      </c>
      <c r="F755" s="4"/>
    </row>
    <row r="756" spans="5:6" x14ac:dyDescent="0.35">
      <c r="E756" s="4">
        <f>SUM($F$9:G755)+0.1</f>
        <v>1800.1</v>
      </c>
      <c r="F756" s="4"/>
    </row>
    <row r="757" spans="5:6" x14ac:dyDescent="0.35">
      <c r="E757" s="4">
        <f>SUM($F$9:G756)+0.1</f>
        <v>1800.1</v>
      </c>
      <c r="F757" s="4"/>
    </row>
    <row r="758" spans="5:6" x14ac:dyDescent="0.35">
      <c r="E758" s="4">
        <f>SUM($F$9:G757)+0.1</f>
        <v>1800.1</v>
      </c>
      <c r="F758" s="4"/>
    </row>
    <row r="759" spans="5:6" x14ac:dyDescent="0.35">
      <c r="E759" s="4">
        <f>SUM($F$9:G758)+0.1</f>
        <v>1800.1</v>
      </c>
      <c r="F759" s="4"/>
    </row>
    <row r="760" spans="5:6" x14ac:dyDescent="0.35">
      <c r="E760" s="4">
        <f>SUM($F$9:G759)+0.1</f>
        <v>1800.1</v>
      </c>
      <c r="F760" s="4"/>
    </row>
    <row r="761" spans="5:6" x14ac:dyDescent="0.35">
      <c r="E761" s="4">
        <f>SUM($F$9:G760)+0.1</f>
        <v>1800.1</v>
      </c>
      <c r="F761" s="4"/>
    </row>
    <row r="762" spans="5:6" x14ac:dyDescent="0.35">
      <c r="E762" s="4">
        <f>SUM($F$9:G761)+0.1</f>
        <v>1800.1</v>
      </c>
      <c r="F762" s="4"/>
    </row>
    <row r="763" spans="5:6" x14ac:dyDescent="0.35">
      <c r="E763" s="4">
        <f>SUM($F$9:G762)+0.1</f>
        <v>1800.1</v>
      </c>
      <c r="F763" s="4"/>
    </row>
    <row r="764" spans="5:6" x14ac:dyDescent="0.35">
      <c r="E764" s="4">
        <f>SUM($F$9:G763)+0.1</f>
        <v>1800.1</v>
      </c>
      <c r="F764" s="4"/>
    </row>
    <row r="765" spans="5:6" x14ac:dyDescent="0.35">
      <c r="E765" s="4">
        <f>SUM($F$9:G764)+0.1</f>
        <v>1800.1</v>
      </c>
      <c r="F765" s="4"/>
    </row>
    <row r="766" spans="5:6" x14ac:dyDescent="0.35">
      <c r="E766" s="4">
        <f>SUM($F$9:G765)+0.1</f>
        <v>1800.1</v>
      </c>
      <c r="F766" s="4"/>
    </row>
    <row r="767" spans="5:6" x14ac:dyDescent="0.35">
      <c r="E767" s="4">
        <f>SUM($F$9:G766)+0.1</f>
        <v>1800.1</v>
      </c>
      <c r="F767" s="4"/>
    </row>
    <row r="768" spans="5:6" x14ac:dyDescent="0.35">
      <c r="E768" s="4">
        <f>SUM($F$9:G767)+0.1</f>
        <v>1800.1</v>
      </c>
      <c r="F768" s="4"/>
    </row>
    <row r="769" spans="5:6" x14ac:dyDescent="0.35">
      <c r="E769" s="4">
        <f>SUM($F$9:G768)+0.1</f>
        <v>1800.1</v>
      </c>
      <c r="F769" s="4"/>
    </row>
    <row r="770" spans="5:6" x14ac:dyDescent="0.35">
      <c r="E770" s="4">
        <f>SUM($F$9:G769)+0.1</f>
        <v>1800.1</v>
      </c>
      <c r="F770" s="4"/>
    </row>
    <row r="771" spans="5:6" x14ac:dyDescent="0.35">
      <c r="E771" s="4">
        <f>SUM($F$9:G770)+0.1</f>
        <v>1800.1</v>
      </c>
      <c r="F771" s="4"/>
    </row>
    <row r="772" spans="5:6" x14ac:dyDescent="0.35">
      <c r="E772" s="4">
        <f>SUM($F$9:G771)+0.1</f>
        <v>1800.1</v>
      </c>
      <c r="F772" s="4"/>
    </row>
    <row r="773" spans="5:6" x14ac:dyDescent="0.35">
      <c r="E773" s="4">
        <f>SUM($F$9:G772)+0.1</f>
        <v>1800.1</v>
      </c>
      <c r="F773" s="4"/>
    </row>
    <row r="774" spans="5:6" x14ac:dyDescent="0.35">
      <c r="E774" s="4">
        <f>SUM($F$9:G773)+0.1</f>
        <v>1800.1</v>
      </c>
      <c r="F774" s="4"/>
    </row>
    <row r="775" spans="5:6" x14ac:dyDescent="0.35">
      <c r="E775" s="4">
        <f>SUM($F$9:G774)+0.1</f>
        <v>1800.1</v>
      </c>
      <c r="F775" s="4"/>
    </row>
    <row r="776" spans="5:6" x14ac:dyDescent="0.35">
      <c r="E776" s="4">
        <f>SUM($F$9:G775)+0.1</f>
        <v>1800.1</v>
      </c>
      <c r="F776" s="4"/>
    </row>
    <row r="777" spans="5:6" x14ac:dyDescent="0.35">
      <c r="E777" s="4">
        <f>SUM($F$9:G776)+0.1</f>
        <v>1800.1</v>
      </c>
      <c r="F777" s="4"/>
    </row>
    <row r="778" spans="5:6" x14ac:dyDescent="0.35">
      <c r="E778" s="4">
        <f>SUM($F$9:G777)+0.1</f>
        <v>1800.1</v>
      </c>
      <c r="F778" s="4"/>
    </row>
    <row r="779" spans="5:6" x14ac:dyDescent="0.35">
      <c r="E779" s="4">
        <f>SUM($F$9:G778)+0.1</f>
        <v>1800.1</v>
      </c>
      <c r="F779" s="4"/>
    </row>
    <row r="780" spans="5:6" x14ac:dyDescent="0.35">
      <c r="E780" s="4">
        <f>SUM($F$9:G779)+0.1</f>
        <v>1800.1</v>
      </c>
      <c r="F780" s="4"/>
    </row>
    <row r="781" spans="5:6" x14ac:dyDescent="0.35">
      <c r="E781" s="4">
        <f>SUM($F$9:G780)+0.1</f>
        <v>1800.1</v>
      </c>
      <c r="F781" s="4"/>
    </row>
    <row r="782" spans="5:6" x14ac:dyDescent="0.35">
      <c r="E782" s="4">
        <f>SUM($F$9:G781)+0.1</f>
        <v>1800.1</v>
      </c>
      <c r="F782" s="4"/>
    </row>
    <row r="783" spans="5:6" x14ac:dyDescent="0.35">
      <c r="E783" s="4">
        <f>SUM($F$9:G782)+0.1</f>
        <v>1800.1</v>
      </c>
      <c r="F783" s="4"/>
    </row>
    <row r="784" spans="5:6" x14ac:dyDescent="0.35">
      <c r="E784" s="4">
        <f>SUM($F$9:G783)+0.1</f>
        <v>1800.1</v>
      </c>
      <c r="F784" s="4"/>
    </row>
    <row r="785" spans="5:6" x14ac:dyDescent="0.35">
      <c r="E785" s="4">
        <f>SUM($F$9:G784)+0.1</f>
        <v>1800.1</v>
      </c>
      <c r="F785" s="4"/>
    </row>
    <row r="786" spans="5:6" x14ac:dyDescent="0.35">
      <c r="E786" s="4">
        <f>SUM($F$9:G785)+0.1</f>
        <v>1800.1</v>
      </c>
      <c r="F786" s="4"/>
    </row>
    <row r="787" spans="5:6" x14ac:dyDescent="0.35">
      <c r="E787" s="4">
        <f>SUM($F$9:G786)+0.1</f>
        <v>1800.1</v>
      </c>
      <c r="F787" s="4"/>
    </row>
    <row r="788" spans="5:6" x14ac:dyDescent="0.35">
      <c r="E788" s="4">
        <f>SUM($F$9:G787)+0.1</f>
        <v>1800.1</v>
      </c>
      <c r="F788" s="4"/>
    </row>
    <row r="789" spans="5:6" x14ac:dyDescent="0.35">
      <c r="E789" s="4">
        <f>SUM($F$9:G788)+0.1</f>
        <v>1800.1</v>
      </c>
      <c r="F789" s="4"/>
    </row>
    <row r="790" spans="5:6" x14ac:dyDescent="0.35">
      <c r="E790" s="4">
        <f>SUM($F$9:G789)+0.1</f>
        <v>1800.1</v>
      </c>
      <c r="F790" s="4"/>
    </row>
    <row r="791" spans="5:6" x14ac:dyDescent="0.35">
      <c r="E791" s="4">
        <f>SUM($F$9:G790)+0.1</f>
        <v>1800.1</v>
      </c>
      <c r="F791" s="4"/>
    </row>
    <row r="792" spans="5:6" x14ac:dyDescent="0.35">
      <c r="E792" s="4">
        <f>SUM($F$9:G791)+0.1</f>
        <v>1800.1</v>
      </c>
      <c r="F792" s="4"/>
    </row>
    <row r="793" spans="5:6" x14ac:dyDescent="0.35">
      <c r="E793" s="4">
        <f>SUM($F$9:G792)+0.1</f>
        <v>1800.1</v>
      </c>
      <c r="F793" s="4"/>
    </row>
    <row r="794" spans="5:6" x14ac:dyDescent="0.35">
      <c r="E794" s="4">
        <f>SUM($F$9:G793)+0.1</f>
        <v>1800.1</v>
      </c>
      <c r="F794" s="4"/>
    </row>
    <row r="795" spans="5:6" x14ac:dyDescent="0.35">
      <c r="E795" s="4">
        <f>SUM($F$9:G794)+0.1</f>
        <v>1800.1</v>
      </c>
      <c r="F795" s="4"/>
    </row>
    <row r="796" spans="5:6" x14ac:dyDescent="0.35">
      <c r="E796" s="4">
        <f>SUM($F$9:G795)+0.1</f>
        <v>1800.1</v>
      </c>
      <c r="F796" s="4"/>
    </row>
    <row r="797" spans="5:6" x14ac:dyDescent="0.35">
      <c r="E797" s="4">
        <f>SUM($F$9:G796)+0.1</f>
        <v>1800.1</v>
      </c>
      <c r="F797" s="4"/>
    </row>
    <row r="798" spans="5:6" x14ac:dyDescent="0.35">
      <c r="E798" s="4">
        <f>SUM($F$9:G797)+0.1</f>
        <v>1800.1</v>
      </c>
      <c r="F798" s="4"/>
    </row>
    <row r="799" spans="5:6" x14ac:dyDescent="0.35">
      <c r="E799" s="4">
        <f>SUM($F$9:G798)+0.1</f>
        <v>1800.1</v>
      </c>
      <c r="F799" s="4"/>
    </row>
    <row r="800" spans="5:6" x14ac:dyDescent="0.35">
      <c r="E800" s="4">
        <f>SUM($F$9:G799)+0.1</f>
        <v>1800.1</v>
      </c>
      <c r="F800" s="4"/>
    </row>
    <row r="801" spans="5:6" x14ac:dyDescent="0.35">
      <c r="E801" s="4">
        <f>SUM($F$9:G800)+0.1</f>
        <v>1800.1</v>
      </c>
      <c r="F801" s="4"/>
    </row>
    <row r="802" spans="5:6" x14ac:dyDescent="0.35">
      <c r="E802" s="4">
        <f>SUM($F$9:G801)+0.1</f>
        <v>1800.1</v>
      </c>
      <c r="F802" s="4"/>
    </row>
    <row r="803" spans="5:6" x14ac:dyDescent="0.35">
      <c r="E803" s="4">
        <f>SUM($F$9:G802)+0.1</f>
        <v>1800.1</v>
      </c>
      <c r="F803" s="4"/>
    </row>
    <row r="804" spans="5:6" x14ac:dyDescent="0.35">
      <c r="E804" s="4">
        <f>SUM($F$9:G803)+0.1</f>
        <v>1800.1</v>
      </c>
      <c r="F804" s="4"/>
    </row>
    <row r="805" spans="5:6" x14ac:dyDescent="0.35">
      <c r="E805" s="4">
        <f>SUM($F$9:G804)+0.1</f>
        <v>1800.1</v>
      </c>
      <c r="F805" s="4"/>
    </row>
    <row r="806" spans="5:6" x14ac:dyDescent="0.35">
      <c r="E806" s="4">
        <f>SUM($F$9:G805)+0.1</f>
        <v>1800.1</v>
      </c>
      <c r="F806" s="4"/>
    </row>
    <row r="807" spans="5:6" x14ac:dyDescent="0.35">
      <c r="E807" s="4">
        <f>SUM($F$9:G806)+0.1</f>
        <v>1800.1</v>
      </c>
      <c r="F807" s="4"/>
    </row>
    <row r="808" spans="5:6" x14ac:dyDescent="0.35">
      <c r="E808" s="4">
        <f>SUM($F$9:G807)+0.1</f>
        <v>1800.1</v>
      </c>
      <c r="F808" s="4"/>
    </row>
    <row r="809" spans="5:6" x14ac:dyDescent="0.35">
      <c r="E809" s="4">
        <f>SUM($F$9:G808)+0.1</f>
        <v>1800.1</v>
      </c>
      <c r="F809" s="4"/>
    </row>
    <row r="810" spans="5:6" x14ac:dyDescent="0.35">
      <c r="E810" s="4">
        <f>SUM($F$9:G809)+0.1</f>
        <v>1800.1</v>
      </c>
      <c r="F810" s="4"/>
    </row>
    <row r="811" spans="5:6" x14ac:dyDescent="0.35">
      <c r="E811" s="4">
        <f>SUM($F$9:G810)+0.1</f>
        <v>1800.1</v>
      </c>
      <c r="F811" s="4"/>
    </row>
    <row r="812" spans="5:6" x14ac:dyDescent="0.35">
      <c r="E812" s="4">
        <f>SUM($F$9:G811)+0.1</f>
        <v>1800.1</v>
      </c>
      <c r="F812" s="4"/>
    </row>
    <row r="813" spans="5:6" x14ac:dyDescent="0.35">
      <c r="E813" s="4">
        <f>SUM($F$9:G812)+0.1</f>
        <v>1800.1</v>
      </c>
      <c r="F813" s="4"/>
    </row>
    <row r="814" spans="5:6" x14ac:dyDescent="0.35">
      <c r="E814" s="4">
        <f>SUM($F$9:G813)+0.1</f>
        <v>1800.1</v>
      </c>
      <c r="F814" s="4"/>
    </row>
    <row r="815" spans="5:6" x14ac:dyDescent="0.35">
      <c r="E815" s="4">
        <f>SUM($F$9:G814)+0.1</f>
        <v>1800.1</v>
      </c>
      <c r="F815" s="4"/>
    </row>
    <row r="816" spans="5:6" x14ac:dyDescent="0.35">
      <c r="E816" s="4">
        <f>SUM($F$9:G815)+0.1</f>
        <v>1800.1</v>
      </c>
      <c r="F816" s="4"/>
    </row>
    <row r="817" spans="5:6" x14ac:dyDescent="0.35">
      <c r="E817" s="4">
        <f>SUM($F$9:G816)+0.1</f>
        <v>1800.1</v>
      </c>
      <c r="F817" s="4"/>
    </row>
    <row r="818" spans="5:6" x14ac:dyDescent="0.35">
      <c r="E818" s="4">
        <f>SUM($F$9:G817)+0.1</f>
        <v>1800.1</v>
      </c>
      <c r="F818" s="4"/>
    </row>
    <row r="819" spans="5:6" x14ac:dyDescent="0.35">
      <c r="E819" s="4">
        <f>SUM($F$9:G818)+0.1</f>
        <v>1800.1</v>
      </c>
      <c r="F819" s="4"/>
    </row>
    <row r="820" spans="5:6" x14ac:dyDescent="0.35">
      <c r="E820" s="4">
        <f>SUM($F$9:G819)+0.1</f>
        <v>1800.1</v>
      </c>
      <c r="F820" s="4"/>
    </row>
    <row r="821" spans="5:6" x14ac:dyDescent="0.35">
      <c r="E821" s="4">
        <f>SUM($F$9:G820)+0.1</f>
        <v>1800.1</v>
      </c>
      <c r="F821" s="4"/>
    </row>
    <row r="822" spans="5:6" x14ac:dyDescent="0.35">
      <c r="E822" s="4">
        <f>SUM($F$9:G821)+0.1</f>
        <v>1800.1</v>
      </c>
      <c r="F822" s="4"/>
    </row>
    <row r="823" spans="5:6" x14ac:dyDescent="0.35">
      <c r="E823" s="4">
        <f>SUM($F$9:G822)+0.1</f>
        <v>1800.1</v>
      </c>
      <c r="F823" s="4"/>
    </row>
    <row r="824" spans="5:6" x14ac:dyDescent="0.35">
      <c r="E824" s="4">
        <f>SUM($F$9:G823)+0.1</f>
        <v>1800.1</v>
      </c>
      <c r="F824" s="4"/>
    </row>
    <row r="825" spans="5:6" x14ac:dyDescent="0.35">
      <c r="E825" s="4">
        <f>SUM($F$9:G824)+0.1</f>
        <v>1800.1</v>
      </c>
      <c r="F825" s="4"/>
    </row>
    <row r="826" spans="5:6" x14ac:dyDescent="0.35">
      <c r="E826" s="4">
        <f>SUM($F$9:G825)+0.1</f>
        <v>1800.1</v>
      </c>
      <c r="F826" s="4"/>
    </row>
    <row r="827" spans="5:6" x14ac:dyDescent="0.35">
      <c r="E827" s="4">
        <f>SUM($F$9:G826)+0.1</f>
        <v>1800.1</v>
      </c>
      <c r="F827" s="4"/>
    </row>
    <row r="828" spans="5:6" x14ac:dyDescent="0.35">
      <c r="E828" s="4">
        <f>SUM($F$9:G827)+0.1</f>
        <v>1800.1</v>
      </c>
      <c r="F828" s="4"/>
    </row>
    <row r="829" spans="5:6" x14ac:dyDescent="0.35">
      <c r="E829" s="4">
        <f>SUM($F$9:G828)+0.1</f>
        <v>1800.1</v>
      </c>
      <c r="F829" s="4"/>
    </row>
    <row r="830" spans="5:6" x14ac:dyDescent="0.35">
      <c r="E830" s="4">
        <f>SUM($F$9:G829)+0.1</f>
        <v>1800.1</v>
      </c>
      <c r="F830" s="4"/>
    </row>
    <row r="831" spans="5:6" x14ac:dyDescent="0.35">
      <c r="E831" s="4">
        <f>SUM($F$9:G830)+0.1</f>
        <v>1800.1</v>
      </c>
      <c r="F831" s="4"/>
    </row>
    <row r="832" spans="5:6" x14ac:dyDescent="0.35">
      <c r="E832" s="4">
        <f>SUM($F$9:G831)+0.1</f>
        <v>1800.1</v>
      </c>
      <c r="F832" s="4"/>
    </row>
    <row r="833" spans="5:6" x14ac:dyDescent="0.35">
      <c r="E833" s="4">
        <f>SUM($F$9:G832)+0.1</f>
        <v>1800.1</v>
      </c>
      <c r="F833" s="4"/>
    </row>
    <row r="834" spans="5:6" x14ac:dyDescent="0.35">
      <c r="E834" s="4">
        <f>SUM($F$9:G833)+0.1</f>
        <v>1800.1</v>
      </c>
      <c r="F834" s="4"/>
    </row>
    <row r="835" spans="5:6" x14ac:dyDescent="0.35">
      <c r="E835" s="4">
        <f>SUM($F$9:G834)+0.1</f>
        <v>1800.1</v>
      </c>
      <c r="F835" s="4"/>
    </row>
    <row r="836" spans="5:6" x14ac:dyDescent="0.35">
      <c r="E836" s="4">
        <f>SUM($F$9:G835)+0.1</f>
        <v>1800.1</v>
      </c>
      <c r="F836" s="4"/>
    </row>
    <row r="837" spans="5:6" x14ac:dyDescent="0.35">
      <c r="E837" s="4">
        <f>SUM($F$9:G836)+0.1</f>
        <v>1800.1</v>
      </c>
      <c r="F837" s="4"/>
    </row>
    <row r="838" spans="5:6" x14ac:dyDescent="0.35">
      <c r="E838" s="4">
        <f>SUM($F$9:G837)+0.1</f>
        <v>1800.1</v>
      </c>
      <c r="F838" s="4"/>
    </row>
    <row r="839" spans="5:6" x14ac:dyDescent="0.35">
      <c r="E839" s="4">
        <f>SUM($F$9:G838)+0.1</f>
        <v>1800.1</v>
      </c>
      <c r="F839" s="4"/>
    </row>
    <row r="840" spans="5:6" x14ac:dyDescent="0.35">
      <c r="E840" s="4">
        <f>SUM($F$9:G839)+0.1</f>
        <v>1800.1</v>
      </c>
      <c r="F840" s="4"/>
    </row>
    <row r="841" spans="5:6" x14ac:dyDescent="0.35">
      <c r="E841" s="4">
        <f>SUM($F$9:G840)+0.1</f>
        <v>1800.1</v>
      </c>
      <c r="F841" s="4"/>
    </row>
    <row r="842" spans="5:6" x14ac:dyDescent="0.35">
      <c r="E842" s="4">
        <f>SUM($F$9:G841)+0.1</f>
        <v>1800.1</v>
      </c>
      <c r="F842" s="4"/>
    </row>
    <row r="843" spans="5:6" x14ac:dyDescent="0.35">
      <c r="E843" s="4">
        <f>SUM($F$9:G842)+0.1</f>
        <v>1800.1</v>
      </c>
      <c r="F843" s="4"/>
    </row>
    <row r="844" spans="5:6" x14ac:dyDescent="0.35">
      <c r="E844" s="4">
        <f>SUM($F$9:G843)+0.1</f>
        <v>1800.1</v>
      </c>
      <c r="F844" s="4"/>
    </row>
    <row r="845" spans="5:6" x14ac:dyDescent="0.35">
      <c r="E845" s="4">
        <f>SUM($F$9:G844)+0.1</f>
        <v>1800.1</v>
      </c>
      <c r="F845" s="4"/>
    </row>
    <row r="846" spans="5:6" x14ac:dyDescent="0.35">
      <c r="E846" s="4">
        <f>SUM($F$9:G845)+0.1</f>
        <v>1800.1</v>
      </c>
      <c r="F846" s="4"/>
    </row>
    <row r="847" spans="5:6" x14ac:dyDescent="0.35">
      <c r="E847" s="4">
        <f>SUM($F$9:G846)+0.1</f>
        <v>1800.1</v>
      </c>
      <c r="F847" s="4"/>
    </row>
    <row r="848" spans="5:6" x14ac:dyDescent="0.35">
      <c r="E848" s="4">
        <f>SUM($F$9:G847)+0.1</f>
        <v>1800.1</v>
      </c>
      <c r="F848" s="4"/>
    </row>
    <row r="849" spans="5:6" x14ac:dyDescent="0.35">
      <c r="E849" s="4">
        <f>SUM($F$9:G848)+0.1</f>
        <v>1800.1</v>
      </c>
      <c r="F849" s="4"/>
    </row>
    <row r="850" spans="5:6" x14ac:dyDescent="0.35">
      <c r="E850" s="4">
        <f>SUM($F$9:G849)+0.1</f>
        <v>1800.1</v>
      </c>
      <c r="F850" s="4"/>
    </row>
    <row r="851" spans="5:6" x14ac:dyDescent="0.35">
      <c r="E851" s="4">
        <f>SUM($F$9:G850)+0.1</f>
        <v>1800.1</v>
      </c>
      <c r="F851" s="4"/>
    </row>
    <row r="852" spans="5:6" x14ac:dyDescent="0.35">
      <c r="E852" s="4">
        <f>SUM($F$9:G851)+0.1</f>
        <v>1800.1</v>
      </c>
      <c r="F852" s="4"/>
    </row>
    <row r="853" spans="5:6" x14ac:dyDescent="0.35">
      <c r="E853" s="4">
        <f>SUM($F$9:G852)+0.1</f>
        <v>1800.1</v>
      </c>
      <c r="F853" s="4"/>
    </row>
    <row r="854" spans="5:6" x14ac:dyDescent="0.35">
      <c r="E854" s="4">
        <f>SUM($F$9:G853)+0.1</f>
        <v>1800.1</v>
      </c>
      <c r="F854" s="4"/>
    </row>
    <row r="855" spans="5:6" x14ac:dyDescent="0.35">
      <c r="E855" s="4">
        <f>SUM($F$9:G854)+0.1</f>
        <v>1800.1</v>
      </c>
      <c r="F855" s="4"/>
    </row>
    <row r="856" spans="5:6" x14ac:dyDescent="0.35">
      <c r="E856" s="4">
        <f>SUM($F$9:G855)+0.1</f>
        <v>1800.1</v>
      </c>
      <c r="F856" s="4"/>
    </row>
    <row r="857" spans="5:6" x14ac:dyDescent="0.35">
      <c r="E857" s="4">
        <f>SUM($F$9:G856)+0.1</f>
        <v>1800.1</v>
      </c>
      <c r="F857" s="4"/>
    </row>
    <row r="858" spans="5:6" x14ac:dyDescent="0.35">
      <c r="E858" s="4">
        <f>SUM($F$9:G857)+0.1</f>
        <v>1800.1</v>
      </c>
      <c r="F858" s="4"/>
    </row>
    <row r="859" spans="5:6" x14ac:dyDescent="0.35">
      <c r="E859" s="4">
        <f>SUM($F$9:G858)+0.1</f>
        <v>1800.1</v>
      </c>
      <c r="F859" s="4"/>
    </row>
    <row r="860" spans="5:6" x14ac:dyDescent="0.35">
      <c r="E860" s="4">
        <f>SUM($F$9:G859)+0.1</f>
        <v>1800.1</v>
      </c>
      <c r="F860" s="4"/>
    </row>
    <row r="861" spans="5:6" x14ac:dyDescent="0.35">
      <c r="E861" s="4">
        <f>SUM($F$9:G860)+0.1</f>
        <v>1800.1</v>
      </c>
      <c r="F861" s="4"/>
    </row>
    <row r="862" spans="5:6" x14ac:dyDescent="0.35">
      <c r="E862" s="4">
        <f>SUM($F$9:G861)+0.1</f>
        <v>1800.1</v>
      </c>
      <c r="F862" s="4"/>
    </row>
    <row r="863" spans="5:6" x14ac:dyDescent="0.35">
      <c r="E863" s="4">
        <f>SUM($F$9:G862)+0.1</f>
        <v>1800.1</v>
      </c>
      <c r="F863" s="4"/>
    </row>
    <row r="864" spans="5:6" x14ac:dyDescent="0.35">
      <c r="E864" s="4">
        <f>SUM($F$9:G863)+0.1</f>
        <v>1800.1</v>
      </c>
      <c r="F864" s="4"/>
    </row>
    <row r="865" spans="5:6" x14ac:dyDescent="0.35">
      <c r="E865" s="4">
        <f>SUM($F$9:G864)+0.1</f>
        <v>1800.1</v>
      </c>
      <c r="F865" s="4"/>
    </row>
    <row r="866" spans="5:6" x14ac:dyDescent="0.35">
      <c r="E866" s="4">
        <f>SUM($F$9:G865)+0.1</f>
        <v>1800.1</v>
      </c>
      <c r="F866" s="4"/>
    </row>
    <row r="867" spans="5:6" x14ac:dyDescent="0.35">
      <c r="E867" s="4">
        <f>SUM($F$9:G866)+0.1</f>
        <v>1800.1</v>
      </c>
      <c r="F867" s="4"/>
    </row>
    <row r="868" spans="5:6" x14ac:dyDescent="0.35">
      <c r="E868" s="4">
        <f>SUM($F$9:G867)+0.1</f>
        <v>1800.1</v>
      </c>
      <c r="F868" s="4"/>
    </row>
    <row r="869" spans="5:6" x14ac:dyDescent="0.35">
      <c r="E869" s="4">
        <f>SUM($F$9:G868)+0.1</f>
        <v>1800.1</v>
      </c>
      <c r="F869" s="4"/>
    </row>
    <row r="870" spans="5:6" x14ac:dyDescent="0.35">
      <c r="E870" s="4">
        <f>SUM($F$9:G869)+0.1</f>
        <v>1800.1</v>
      </c>
      <c r="F870" s="4"/>
    </row>
    <row r="871" spans="5:6" x14ac:dyDescent="0.35">
      <c r="E871" s="4">
        <f>SUM($F$9:G870)+0.1</f>
        <v>1800.1</v>
      </c>
      <c r="F871" s="4"/>
    </row>
    <row r="872" spans="5:6" x14ac:dyDescent="0.35">
      <c r="E872" s="4">
        <f>SUM($F$9:G871)+0.1</f>
        <v>1800.1</v>
      </c>
      <c r="F872" s="4"/>
    </row>
    <row r="873" spans="5:6" x14ac:dyDescent="0.35">
      <c r="E873" s="4">
        <f>SUM($F$9:G872)+0.1</f>
        <v>1800.1</v>
      </c>
      <c r="F873" s="4"/>
    </row>
    <row r="874" spans="5:6" x14ac:dyDescent="0.35">
      <c r="E874" s="4">
        <f>SUM($F$9:G873)+0.1</f>
        <v>1800.1</v>
      </c>
      <c r="F874" s="4"/>
    </row>
    <row r="875" spans="5:6" x14ac:dyDescent="0.35">
      <c r="E875" s="4">
        <f>SUM($F$9:G874)+0.1</f>
        <v>1800.1</v>
      </c>
      <c r="F875" s="4"/>
    </row>
    <row r="876" spans="5:6" x14ac:dyDescent="0.35">
      <c r="E876" s="4">
        <f>SUM($F$9:G875)+0.1</f>
        <v>1800.1</v>
      </c>
      <c r="F876" s="4"/>
    </row>
    <row r="877" spans="5:6" x14ac:dyDescent="0.35">
      <c r="E877" s="4">
        <f>SUM($F$9:G876)+0.1</f>
        <v>1800.1</v>
      </c>
      <c r="F877" s="4"/>
    </row>
    <row r="878" spans="5:6" x14ac:dyDescent="0.35">
      <c r="E878" s="4">
        <f>SUM($F$9:G877)+0.1</f>
        <v>1800.1</v>
      </c>
      <c r="F878" s="4"/>
    </row>
    <row r="879" spans="5:6" x14ac:dyDescent="0.35">
      <c r="E879" s="4">
        <f>SUM($F$9:G878)+0.1</f>
        <v>1800.1</v>
      </c>
      <c r="F879" s="4"/>
    </row>
    <row r="880" spans="5:6" x14ac:dyDescent="0.35">
      <c r="E880" s="4">
        <f>SUM($F$9:G879)+0.1</f>
        <v>1800.1</v>
      </c>
      <c r="F880" s="4"/>
    </row>
    <row r="881" spans="5:6" x14ac:dyDescent="0.35">
      <c r="E881" s="4">
        <f>SUM($F$9:G880)+0.1</f>
        <v>1800.1</v>
      </c>
      <c r="F881" s="4"/>
    </row>
    <row r="882" spans="5:6" x14ac:dyDescent="0.35">
      <c r="E882" s="4">
        <f>SUM($F$9:G881)+0.1</f>
        <v>1800.1</v>
      </c>
      <c r="F882" s="4"/>
    </row>
    <row r="883" spans="5:6" x14ac:dyDescent="0.35">
      <c r="E883" s="4">
        <f>SUM($F$9:G882)+0.1</f>
        <v>1800.1</v>
      </c>
      <c r="F883" s="4"/>
    </row>
    <row r="884" spans="5:6" x14ac:dyDescent="0.35">
      <c r="E884" s="4">
        <f>SUM($F$9:G883)+0.1</f>
        <v>1800.1</v>
      </c>
      <c r="F884" s="4"/>
    </row>
    <row r="885" spans="5:6" x14ac:dyDescent="0.35">
      <c r="E885" s="4">
        <f>SUM($F$9:G884)+0.1</f>
        <v>1800.1</v>
      </c>
      <c r="F885" s="4"/>
    </row>
    <row r="886" spans="5:6" x14ac:dyDescent="0.35">
      <c r="E886" s="4">
        <f>SUM($F$9:G885)+0.1</f>
        <v>1800.1</v>
      </c>
      <c r="F886" s="4"/>
    </row>
    <row r="887" spans="5:6" x14ac:dyDescent="0.35">
      <c r="E887" s="4">
        <f>SUM($F$9:G886)+0.1</f>
        <v>1800.1</v>
      </c>
      <c r="F887" s="4"/>
    </row>
    <row r="888" spans="5:6" x14ac:dyDescent="0.35">
      <c r="E888" s="4">
        <f>SUM($F$9:G887)+0.1</f>
        <v>1800.1</v>
      </c>
      <c r="F888" s="4"/>
    </row>
    <row r="889" spans="5:6" x14ac:dyDescent="0.35">
      <c r="E889" s="4">
        <f>SUM($F$9:G888)+0.1</f>
        <v>1800.1</v>
      </c>
      <c r="F889" s="4"/>
    </row>
    <row r="890" spans="5:6" x14ac:dyDescent="0.35">
      <c r="E890" s="4">
        <f>SUM($F$9:G889)+0.1</f>
        <v>1800.1</v>
      </c>
      <c r="F890" s="4"/>
    </row>
    <row r="891" spans="5:6" x14ac:dyDescent="0.35">
      <c r="E891" s="4">
        <f>SUM($F$9:G890)+0.1</f>
        <v>1800.1</v>
      </c>
      <c r="F891" s="4"/>
    </row>
    <row r="892" spans="5:6" x14ac:dyDescent="0.35">
      <c r="E892" s="4">
        <f>SUM($F$9:G891)+0.1</f>
        <v>1800.1</v>
      </c>
      <c r="F892" s="4"/>
    </row>
    <row r="893" spans="5:6" x14ac:dyDescent="0.35">
      <c r="E893" s="4">
        <f>SUM($F$9:G892)+0.1</f>
        <v>1800.1</v>
      </c>
      <c r="F893" s="4"/>
    </row>
    <row r="894" spans="5:6" x14ac:dyDescent="0.35">
      <c r="E894" s="4">
        <f>SUM($F$9:G893)+0.1</f>
        <v>1800.1</v>
      </c>
      <c r="F894" s="4"/>
    </row>
    <row r="895" spans="5:6" x14ac:dyDescent="0.35">
      <c r="E895" s="4">
        <f>SUM($F$9:G894)+0.1</f>
        <v>1800.1</v>
      </c>
      <c r="F895" s="4"/>
    </row>
    <row r="896" spans="5:6" x14ac:dyDescent="0.35">
      <c r="E896" s="4">
        <f>SUM($F$9:G895)+0.1</f>
        <v>1800.1</v>
      </c>
      <c r="F896" s="4"/>
    </row>
    <row r="897" spans="5:6" x14ac:dyDescent="0.35">
      <c r="E897" s="4">
        <f>SUM($F$9:G896)+0.1</f>
        <v>1800.1</v>
      </c>
      <c r="F897" s="4"/>
    </row>
    <row r="898" spans="5:6" x14ac:dyDescent="0.35">
      <c r="E898" s="4">
        <f>SUM($F$9:G897)+0.1</f>
        <v>1800.1</v>
      </c>
      <c r="F898" s="4"/>
    </row>
    <row r="899" spans="5:6" x14ac:dyDescent="0.35">
      <c r="E899" s="4">
        <f>SUM($F$9:G898)+0.1</f>
        <v>1800.1</v>
      </c>
      <c r="F899" s="4"/>
    </row>
    <row r="900" spans="5:6" x14ac:dyDescent="0.35">
      <c r="E900" s="4">
        <f>SUM($F$9:G899)+0.1</f>
        <v>1800.1</v>
      </c>
      <c r="F900" s="4"/>
    </row>
    <row r="901" spans="5:6" x14ac:dyDescent="0.35">
      <c r="E901" s="4">
        <f>SUM($F$9:G900)+0.1</f>
        <v>1800.1</v>
      </c>
      <c r="F901" s="4"/>
    </row>
    <row r="902" spans="5:6" x14ac:dyDescent="0.35">
      <c r="E902" s="4">
        <f>SUM($F$9:G901)+0.1</f>
        <v>1800.1</v>
      </c>
      <c r="F902" s="4"/>
    </row>
    <row r="903" spans="5:6" x14ac:dyDescent="0.35">
      <c r="E903" s="4">
        <f>SUM($F$9:G902)+0.1</f>
        <v>1800.1</v>
      </c>
      <c r="F903" s="4"/>
    </row>
    <row r="904" spans="5:6" x14ac:dyDescent="0.35">
      <c r="E904" s="4">
        <f>SUM($F$9:G903)+0.1</f>
        <v>1800.1</v>
      </c>
      <c r="F904" s="4"/>
    </row>
    <row r="905" spans="5:6" x14ac:dyDescent="0.35">
      <c r="E905" s="4">
        <f>SUM($F$9:G904)+0.1</f>
        <v>1800.1</v>
      </c>
      <c r="F905" s="4"/>
    </row>
    <row r="906" spans="5:6" x14ac:dyDescent="0.35">
      <c r="E906" s="4">
        <f>SUM($F$9:G905)+0.1</f>
        <v>1800.1</v>
      </c>
      <c r="F906" s="4"/>
    </row>
    <row r="907" spans="5:6" x14ac:dyDescent="0.35">
      <c r="E907" s="4">
        <f>SUM($F$9:G906)+0.1</f>
        <v>1800.1</v>
      </c>
      <c r="F907" s="4"/>
    </row>
    <row r="908" spans="5:6" x14ac:dyDescent="0.35">
      <c r="E908" s="4">
        <f>SUM($F$9:G907)+0.1</f>
        <v>1800.1</v>
      </c>
      <c r="F908" s="4"/>
    </row>
    <row r="909" spans="5:6" x14ac:dyDescent="0.35">
      <c r="E909" s="4">
        <f>SUM($F$9:G908)+0.1</f>
        <v>1800.1</v>
      </c>
      <c r="F909" s="4"/>
    </row>
    <row r="910" spans="5:6" x14ac:dyDescent="0.35">
      <c r="E910" s="4">
        <f>SUM($F$9:G909)+0.1</f>
        <v>1800.1</v>
      </c>
      <c r="F910" s="4"/>
    </row>
    <row r="911" spans="5:6" x14ac:dyDescent="0.35">
      <c r="E911" s="4">
        <f>SUM($F$9:G910)+0.1</f>
        <v>1800.1</v>
      </c>
      <c r="F911" s="4"/>
    </row>
    <row r="912" spans="5:6" x14ac:dyDescent="0.35">
      <c r="E912" s="4">
        <f>SUM($F$9:G911)+0.1</f>
        <v>1800.1</v>
      </c>
      <c r="F912" s="4"/>
    </row>
    <row r="913" spans="1:6" x14ac:dyDescent="0.35">
      <c r="E913" s="4">
        <f>SUM($F$9:G912)+0.1</f>
        <v>1800.1</v>
      </c>
      <c r="F913" s="4"/>
    </row>
    <row r="914" spans="1:6" x14ac:dyDescent="0.35">
      <c r="E914" s="4">
        <f>SUM($F$9:G913)+0.1</f>
        <v>1800.1</v>
      </c>
      <c r="F914" s="4"/>
    </row>
    <row r="915" spans="1:6" x14ac:dyDescent="0.35">
      <c r="E915" s="4">
        <f>SUM($F$9:G914)+0.1</f>
        <v>1800.1</v>
      </c>
      <c r="F915" s="4"/>
    </row>
    <row r="916" spans="1:6" x14ac:dyDescent="0.35">
      <c r="E916" s="4">
        <f>SUM($F$9:G915)+0.1</f>
        <v>1800.1</v>
      </c>
      <c r="F916" s="4"/>
    </row>
    <row r="917" spans="1:6" x14ac:dyDescent="0.35">
      <c r="E917" s="4">
        <f>SUM($F$9:G916)+0.1</f>
        <v>1800.1</v>
      </c>
      <c r="F917" s="4"/>
    </row>
    <row r="918" spans="1:6" x14ac:dyDescent="0.35">
      <c r="E918" s="4">
        <f>SUM($F$9:G917)+0.1</f>
        <v>1800.1</v>
      </c>
      <c r="F918" s="4"/>
    </row>
    <row r="919" spans="1:6" x14ac:dyDescent="0.35">
      <c r="A919"/>
    </row>
    <row r="920" spans="1:6" x14ac:dyDescent="0.35">
      <c r="A920"/>
    </row>
    <row r="921" spans="1:6" x14ac:dyDescent="0.35">
      <c r="A921"/>
    </row>
    <row r="922" spans="1:6" x14ac:dyDescent="0.35">
      <c r="A922"/>
    </row>
    <row r="923" spans="1:6" x14ac:dyDescent="0.35">
      <c r="A923"/>
    </row>
    <row r="924" spans="1:6" x14ac:dyDescent="0.35">
      <c r="A924"/>
    </row>
    <row r="925" spans="1:6" x14ac:dyDescent="0.35">
      <c r="A925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Refresh">
                <anchor moveWithCells="1">
                  <from>
                    <xdr:col>3</xdr:col>
                    <xdr:colOff>133350</xdr:colOff>
                    <xdr:row>0</xdr:row>
                    <xdr:rowOff>152400</xdr:rowOff>
                  </from>
                  <to>
                    <xdr:col>3</xdr:col>
                    <xdr:colOff>679450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94F0-F03D-480D-995F-39435E596BD1}">
  <sheetPr codeName="Sheet8"/>
  <dimension ref="A1:G926"/>
  <sheetViews>
    <sheetView topLeftCell="A341" workbookViewId="0">
      <selection activeCell="A361" sqref="A361"/>
    </sheetView>
  </sheetViews>
  <sheetFormatPr defaultRowHeight="14.5" x14ac:dyDescent="0.35"/>
  <cols>
    <col min="1" max="1" width="66.1796875" style="1" bestFit="1" customWidth="1"/>
    <col min="4" max="4" width="11.54296875" customWidth="1"/>
  </cols>
  <sheetData>
    <row r="1" spans="1:7" x14ac:dyDescent="0.35">
      <c r="A1" s="1" t="s">
        <v>923</v>
      </c>
      <c r="B1">
        <f>SUM(Table1345[[Column2]:[Column3]])</f>
        <v>1000</v>
      </c>
    </row>
    <row r="2" spans="1:7" x14ac:dyDescent="0.35">
      <c r="A2" s="1" t="s">
        <v>924</v>
      </c>
      <c r="B2">
        <f ca="1">RANDBETWEEN(1,B1)</f>
        <v>194</v>
      </c>
    </row>
    <row r="3" spans="1:7" x14ac:dyDescent="0.35">
      <c r="A3" s="1" t="s">
        <v>925</v>
      </c>
      <c r="B3">
        <f ca="1">MATCH(B2,Table1345[Total],1)</f>
        <v>76</v>
      </c>
    </row>
    <row r="6" spans="1:7" x14ac:dyDescent="0.35">
      <c r="A6" s="1" t="s">
        <v>926</v>
      </c>
      <c r="B6" s="5" t="str">
        <f ca="1">IF(F8=G8,INDEX(Table1345[Show],B3),"cheater")</f>
        <v>Crown, The</v>
      </c>
    </row>
    <row r="8" spans="1:7" x14ac:dyDescent="0.35">
      <c r="F8">
        <f>SUM(Table1345[Column2])</f>
        <v>500</v>
      </c>
      <c r="G8">
        <f>SUM(Table1345[Column3])</f>
        <v>500</v>
      </c>
    </row>
    <row r="9" spans="1:7" x14ac:dyDescent="0.35">
      <c r="A9" s="1" t="s">
        <v>897</v>
      </c>
      <c r="B9" t="s">
        <v>898</v>
      </c>
      <c r="C9" t="s">
        <v>901</v>
      </c>
      <c r="D9" t="s">
        <v>899</v>
      </c>
      <c r="E9" t="s">
        <v>922</v>
      </c>
      <c r="F9" t="s">
        <v>920</v>
      </c>
      <c r="G9" t="s">
        <v>921</v>
      </c>
    </row>
    <row r="10" spans="1:7" x14ac:dyDescent="0.35">
      <c r="A10" s="1">
        <v>1883</v>
      </c>
      <c r="B10">
        <v>60</v>
      </c>
      <c r="C10" t="s">
        <v>901</v>
      </c>
      <c r="D10" t="s">
        <v>153</v>
      </c>
      <c r="E10" s="4">
        <f>SUM($F$9:G9)+0.1</f>
        <v>0.1</v>
      </c>
      <c r="F10" s="4"/>
    </row>
    <row r="11" spans="1:7" x14ac:dyDescent="0.35">
      <c r="A11" s="1">
        <v>1899</v>
      </c>
      <c r="B11">
        <v>60</v>
      </c>
      <c r="C11">
        <v>1</v>
      </c>
      <c r="E11" s="4">
        <f>SUM($F$9:G10)+0.1</f>
        <v>0.1</v>
      </c>
      <c r="F11" s="4"/>
    </row>
    <row r="12" spans="1:7" x14ac:dyDescent="0.35">
      <c r="A12" s="1">
        <v>1923</v>
      </c>
      <c r="B12">
        <v>60</v>
      </c>
      <c r="C12">
        <v>1</v>
      </c>
      <c r="D12" t="s">
        <v>153</v>
      </c>
      <c r="E12" s="4">
        <f>SUM($F$9:G11)+0.1</f>
        <v>0.1</v>
      </c>
      <c r="F12" s="4"/>
    </row>
    <row r="13" spans="1:7" x14ac:dyDescent="0.35">
      <c r="A13" s="1" t="s">
        <v>370</v>
      </c>
      <c r="B13">
        <v>60</v>
      </c>
      <c r="C13" t="s">
        <v>901</v>
      </c>
      <c r="E13" s="4">
        <f>SUM($F$9:G12)+0.1</f>
        <v>0.1</v>
      </c>
      <c r="F13" s="4"/>
    </row>
    <row r="14" spans="1:7" x14ac:dyDescent="0.35">
      <c r="A14" s="1" t="s">
        <v>661</v>
      </c>
      <c r="B14">
        <v>60</v>
      </c>
      <c r="C14" t="s">
        <v>900</v>
      </c>
      <c r="E14" s="4">
        <f>SUM($F$9:G13)+0.1</f>
        <v>0.1</v>
      </c>
      <c r="F14" s="4"/>
    </row>
    <row r="15" spans="1:7" x14ac:dyDescent="0.35">
      <c r="A15" s="1" t="s">
        <v>790</v>
      </c>
      <c r="B15">
        <v>60</v>
      </c>
      <c r="C15" t="s">
        <v>900</v>
      </c>
      <c r="E15" s="4">
        <f>SUM($F$9:G14)+0.1</f>
        <v>0.1</v>
      </c>
      <c r="F15" s="4"/>
    </row>
    <row r="16" spans="1:7" x14ac:dyDescent="0.35">
      <c r="A16" s="1" t="s">
        <v>726</v>
      </c>
      <c r="B16">
        <v>60</v>
      </c>
      <c r="C16" t="s">
        <v>900</v>
      </c>
      <c r="E16" s="4">
        <f>SUM($F$9:G15)+0.1</f>
        <v>0.1</v>
      </c>
      <c r="F16" s="4"/>
    </row>
    <row r="17" spans="1:6" x14ac:dyDescent="0.35">
      <c r="A17" s="1" t="s">
        <v>727</v>
      </c>
      <c r="B17">
        <v>60</v>
      </c>
      <c r="C17" t="s">
        <v>900</v>
      </c>
      <c r="E17" s="4">
        <f>SUM($F$9:G16)+0.1</f>
        <v>0.1</v>
      </c>
      <c r="F17" s="4"/>
    </row>
    <row r="18" spans="1:6" x14ac:dyDescent="0.35">
      <c r="A18" s="1" t="s">
        <v>461</v>
      </c>
      <c r="B18">
        <v>60</v>
      </c>
      <c r="C18">
        <v>1</v>
      </c>
      <c r="D18">
        <v>24</v>
      </c>
      <c r="E18" s="4">
        <f>SUM($F$9:G17)+0.1</f>
        <v>0.1</v>
      </c>
      <c r="F18" s="4"/>
    </row>
    <row r="19" spans="1:6" x14ac:dyDescent="0.35">
      <c r="A19" s="1" t="s">
        <v>0</v>
      </c>
      <c r="B19">
        <v>60</v>
      </c>
      <c r="C19" t="s">
        <v>900</v>
      </c>
      <c r="E19" s="4">
        <f>SUM($F$9:G18)+0.1</f>
        <v>0.1</v>
      </c>
      <c r="F19" s="4"/>
    </row>
    <row r="20" spans="1:6" x14ac:dyDescent="0.35">
      <c r="A20" s="1" t="s">
        <v>916</v>
      </c>
      <c r="B20">
        <v>60</v>
      </c>
      <c r="C20" t="s">
        <v>901</v>
      </c>
      <c r="E20" s="4">
        <f>SUM($F$9:G19)+0.1</f>
        <v>0.1</v>
      </c>
      <c r="F20" s="4"/>
    </row>
    <row r="21" spans="1:6" x14ac:dyDescent="0.35">
      <c r="A21" s="2" t="s">
        <v>583</v>
      </c>
      <c r="B21">
        <v>60</v>
      </c>
      <c r="C21" t="s">
        <v>900</v>
      </c>
      <c r="E21" s="4">
        <f>SUM($F$9:G20)+0.1</f>
        <v>0.1</v>
      </c>
      <c r="F21" s="4"/>
    </row>
    <row r="22" spans="1:6" x14ac:dyDescent="0.35">
      <c r="A22" s="1" t="s">
        <v>662</v>
      </c>
      <c r="B22">
        <v>30</v>
      </c>
      <c r="C22" t="s">
        <v>903</v>
      </c>
      <c r="E22" s="4">
        <f>SUM($F$9:G21)+0.1</f>
        <v>0.1</v>
      </c>
      <c r="F22" s="4"/>
    </row>
    <row r="23" spans="1:6" x14ac:dyDescent="0.35">
      <c r="A23" s="13" t="s">
        <v>463</v>
      </c>
      <c r="B23">
        <v>60</v>
      </c>
      <c r="C23" t="s">
        <v>901</v>
      </c>
      <c r="E23" s="4">
        <f>SUM($F$9:G22)+0.1</f>
        <v>0.1</v>
      </c>
      <c r="F23" s="4"/>
    </row>
    <row r="24" spans="1:6" x14ac:dyDescent="0.35">
      <c r="A24" s="1" t="s">
        <v>841</v>
      </c>
      <c r="B24">
        <v>60</v>
      </c>
      <c r="C24" t="s">
        <v>901</v>
      </c>
      <c r="E24" s="4">
        <f>SUM($F$9:G23)+0.1</f>
        <v>0.1</v>
      </c>
      <c r="F24" s="4"/>
    </row>
    <row r="25" spans="1:6" x14ac:dyDescent="0.35">
      <c r="A25" s="1" t="s">
        <v>873</v>
      </c>
      <c r="B25">
        <v>60</v>
      </c>
      <c r="C25" t="s">
        <v>901</v>
      </c>
      <c r="E25" s="4">
        <f>SUM($F$9:G24)+0.1</f>
        <v>0.1</v>
      </c>
      <c r="F25" s="4">
        <v>5</v>
      </c>
    </row>
    <row r="26" spans="1:6" x14ac:dyDescent="0.35">
      <c r="A26" s="1" t="s">
        <v>584</v>
      </c>
      <c r="B26">
        <v>60</v>
      </c>
      <c r="C26">
        <v>1</v>
      </c>
      <c r="D26" t="s">
        <v>902</v>
      </c>
      <c r="E26" s="4">
        <f>SUM($F$9:G25)+0.1</f>
        <v>5.0999999999999996</v>
      </c>
      <c r="F26" s="4"/>
    </row>
    <row r="27" spans="1:6" x14ac:dyDescent="0.35">
      <c r="A27" s="1" t="s">
        <v>466</v>
      </c>
      <c r="B27">
        <v>60</v>
      </c>
      <c r="C27" t="s">
        <v>901</v>
      </c>
      <c r="E27" s="4">
        <f>SUM($F$9:G26)+0.1</f>
        <v>5.0999999999999996</v>
      </c>
      <c r="F27" s="4"/>
    </row>
    <row r="28" spans="1:6" x14ac:dyDescent="0.35">
      <c r="A28" s="1" t="s">
        <v>589</v>
      </c>
      <c r="B28">
        <v>60</v>
      </c>
      <c r="C28" t="s">
        <v>901</v>
      </c>
      <c r="E28" s="4">
        <f>SUM($F$9:G27)+0.1</f>
        <v>5.0999999999999996</v>
      </c>
      <c r="F28" s="4"/>
    </row>
    <row r="29" spans="1:6" x14ac:dyDescent="0.35">
      <c r="A29" s="1" t="s">
        <v>590</v>
      </c>
      <c r="B29">
        <v>60</v>
      </c>
      <c r="C29" t="s">
        <v>901</v>
      </c>
      <c r="E29" s="4">
        <f>SUM($F$9:G28)+0.1</f>
        <v>5.0999999999999996</v>
      </c>
      <c r="F29" s="4"/>
    </row>
    <row r="30" spans="1:6" x14ac:dyDescent="0.35">
      <c r="A30" s="1" t="s">
        <v>1828</v>
      </c>
      <c r="B30">
        <v>60</v>
      </c>
      <c r="C30" t="s">
        <v>901</v>
      </c>
      <c r="E30" s="4">
        <f>SUM($F$9:G29)+0.1</f>
        <v>5.0999999999999996</v>
      </c>
      <c r="F30" s="4"/>
    </row>
    <row r="31" spans="1:6" x14ac:dyDescent="0.35">
      <c r="A31" s="1" t="s">
        <v>221</v>
      </c>
      <c r="B31">
        <v>30</v>
      </c>
      <c r="C31" t="s">
        <v>903</v>
      </c>
      <c r="E31" s="4">
        <f>SUM($F$9:G30)+0.1</f>
        <v>5.0999999999999996</v>
      </c>
      <c r="F31" s="4"/>
    </row>
    <row r="32" spans="1:6" x14ac:dyDescent="0.35">
      <c r="A32" s="1" t="s">
        <v>1846</v>
      </c>
      <c r="E32" s="4">
        <f>SUM($F$9:G31)+0.1</f>
        <v>5.0999999999999996</v>
      </c>
      <c r="F32" s="4"/>
    </row>
    <row r="33" spans="1:6" x14ac:dyDescent="0.35">
      <c r="A33" s="1" t="s">
        <v>223</v>
      </c>
      <c r="B33">
        <v>60</v>
      </c>
      <c r="C33" t="s">
        <v>901</v>
      </c>
      <c r="E33" s="4">
        <f>SUM($F$9:G32)+0.1</f>
        <v>5.0999999999999996</v>
      </c>
      <c r="F33" s="4"/>
    </row>
    <row r="34" spans="1:6" x14ac:dyDescent="0.35">
      <c r="A34" s="1" t="s">
        <v>1854</v>
      </c>
      <c r="E34" s="4">
        <f>SUM($F$9:G33)+0.1</f>
        <v>5.0999999999999996</v>
      </c>
      <c r="F34" s="4"/>
    </row>
    <row r="35" spans="1:6" x14ac:dyDescent="0.35">
      <c r="A35" s="1" t="s">
        <v>4</v>
      </c>
      <c r="B35">
        <v>60</v>
      </c>
      <c r="C35" t="s">
        <v>903</v>
      </c>
      <c r="E35" s="4">
        <f>SUM($F$9:G34)+0.1</f>
        <v>5.0999999999999996</v>
      </c>
      <c r="F35" s="4"/>
    </row>
    <row r="36" spans="1:6" x14ac:dyDescent="0.35">
      <c r="A36" s="1" t="s">
        <v>464</v>
      </c>
      <c r="B36">
        <v>60</v>
      </c>
      <c r="C36" t="s">
        <v>903</v>
      </c>
      <c r="E36" s="4">
        <f>SUM($F$9:G35)+0.1</f>
        <v>5.0999999999999996</v>
      </c>
      <c r="F36" s="4"/>
    </row>
    <row r="37" spans="1:6" x14ac:dyDescent="0.35">
      <c r="A37" s="1" t="s">
        <v>6</v>
      </c>
      <c r="B37">
        <v>60</v>
      </c>
      <c r="C37" t="s">
        <v>903</v>
      </c>
      <c r="E37" s="4">
        <f>SUM($F$9:G36)+0.1</f>
        <v>5.0999999999999996</v>
      </c>
      <c r="F37" s="4"/>
    </row>
    <row r="38" spans="1:6" x14ac:dyDescent="0.35">
      <c r="A38" s="1" t="s">
        <v>196</v>
      </c>
      <c r="B38">
        <v>60</v>
      </c>
      <c r="C38" t="s">
        <v>900</v>
      </c>
      <c r="E38" s="4">
        <f>SUM($F$9:G37)+0.1</f>
        <v>5.0999999999999996</v>
      </c>
      <c r="F38" s="4"/>
    </row>
    <row r="39" spans="1:6" x14ac:dyDescent="0.35">
      <c r="A39" s="1" t="s">
        <v>585</v>
      </c>
      <c r="B39">
        <v>60</v>
      </c>
      <c r="C39" t="s">
        <v>900</v>
      </c>
      <c r="E39" s="4">
        <f>SUM($F$9:G38)+0.1</f>
        <v>5.0999999999999996</v>
      </c>
      <c r="F39" s="4"/>
    </row>
    <row r="40" spans="1:6" x14ac:dyDescent="0.35">
      <c r="A40" s="1" t="s">
        <v>1845</v>
      </c>
      <c r="E40" s="4">
        <f>SUM($F$9:G39)+0.1</f>
        <v>5.0999999999999996</v>
      </c>
      <c r="F40" s="4"/>
    </row>
    <row r="41" spans="1:6" x14ac:dyDescent="0.35">
      <c r="A41" s="1" t="s">
        <v>1893</v>
      </c>
      <c r="E41" s="4">
        <f>SUM($F$9:G40)+0.1</f>
        <v>5.0999999999999996</v>
      </c>
      <c r="F41" s="4"/>
    </row>
    <row r="42" spans="1:6" x14ac:dyDescent="0.35">
      <c r="A42" s="1" t="s">
        <v>586</v>
      </c>
      <c r="B42">
        <v>30</v>
      </c>
      <c r="C42" t="s">
        <v>900</v>
      </c>
      <c r="E42" s="4">
        <f>SUM($F$9:G41)+0.1</f>
        <v>5.0999999999999996</v>
      </c>
      <c r="F42" s="4"/>
    </row>
    <row r="43" spans="1:6" x14ac:dyDescent="0.35">
      <c r="A43" s="1" t="s">
        <v>227</v>
      </c>
      <c r="B43">
        <v>60</v>
      </c>
      <c r="C43" t="s">
        <v>901</v>
      </c>
      <c r="E43" s="4">
        <f>SUM($F$9:G42)+0.1</f>
        <v>5.0999999999999996</v>
      </c>
      <c r="F43" s="4"/>
    </row>
    <row r="44" spans="1:6" x14ac:dyDescent="0.35">
      <c r="A44" s="1" t="s">
        <v>8</v>
      </c>
      <c r="B44">
        <v>60</v>
      </c>
      <c r="C44" t="s">
        <v>900</v>
      </c>
      <c r="E44" s="4">
        <f>SUM($F$9:G43)+0.1</f>
        <v>5.0999999999999996</v>
      </c>
      <c r="F44" s="4"/>
    </row>
    <row r="45" spans="1:6" x14ac:dyDescent="0.35">
      <c r="A45" s="1" t="s">
        <v>664</v>
      </c>
      <c r="B45">
        <v>60</v>
      </c>
      <c r="C45" t="s">
        <v>901</v>
      </c>
      <c r="E45" s="4">
        <f>SUM($F$9:G44)+0.1</f>
        <v>5.0999999999999996</v>
      </c>
      <c r="F45" s="4"/>
    </row>
    <row r="46" spans="1:6" x14ac:dyDescent="0.35">
      <c r="A46" s="1" t="s">
        <v>1847</v>
      </c>
      <c r="E46" s="4">
        <f>SUM($F$9:G45)+0.1</f>
        <v>5.0999999999999996</v>
      </c>
      <c r="F46" s="4"/>
    </row>
    <row r="47" spans="1:6" x14ac:dyDescent="0.35">
      <c r="A47" s="1" t="s">
        <v>465</v>
      </c>
      <c r="B47">
        <v>60</v>
      </c>
      <c r="C47" t="s">
        <v>901</v>
      </c>
      <c r="E47" s="4">
        <f>SUM($F$9:G46)+0.1</f>
        <v>5.0999999999999996</v>
      </c>
      <c r="F47" s="4"/>
    </row>
    <row r="48" spans="1:6" x14ac:dyDescent="0.35">
      <c r="A48" s="1" t="s">
        <v>729</v>
      </c>
      <c r="B48">
        <v>60</v>
      </c>
      <c r="C48" t="s">
        <v>900</v>
      </c>
      <c r="E48" s="4">
        <f>SUM($F$9:G47)+0.1</f>
        <v>5.0999999999999996</v>
      </c>
      <c r="F48" s="4"/>
    </row>
    <row r="49" spans="1:6" x14ac:dyDescent="0.35">
      <c r="A49" s="1" t="s">
        <v>231</v>
      </c>
      <c r="B49">
        <v>30</v>
      </c>
      <c r="C49" t="s">
        <v>903</v>
      </c>
      <c r="E49" s="4">
        <f>SUM($F$9:G48)+0.1</f>
        <v>5.0999999999999996</v>
      </c>
      <c r="F49" s="4"/>
    </row>
    <row r="50" spans="1:6" x14ac:dyDescent="0.35">
      <c r="A50" s="1" t="s">
        <v>198</v>
      </c>
      <c r="B50">
        <v>30</v>
      </c>
      <c r="C50" t="s">
        <v>901</v>
      </c>
      <c r="E50" s="4">
        <f>SUM($F$9:G49)+0.1</f>
        <v>5.0999999999999996</v>
      </c>
      <c r="F50" s="4">
        <v>10</v>
      </c>
    </row>
    <row r="51" spans="1:6" x14ac:dyDescent="0.35">
      <c r="A51" s="1" t="s">
        <v>728</v>
      </c>
      <c r="B51">
        <v>30</v>
      </c>
      <c r="C51">
        <v>1</v>
      </c>
      <c r="E51" s="4">
        <f>SUM($F$9:G50)+0.1</f>
        <v>15.1</v>
      </c>
      <c r="F51" s="4"/>
    </row>
    <row r="52" spans="1:6" x14ac:dyDescent="0.35">
      <c r="A52" s="1" t="s">
        <v>232</v>
      </c>
      <c r="B52">
        <v>60</v>
      </c>
      <c r="C52" t="s">
        <v>900</v>
      </c>
      <c r="E52" s="4">
        <f>SUM($F$9:G51)+0.1</f>
        <v>15.1</v>
      </c>
      <c r="F52" s="4"/>
    </row>
    <row r="53" spans="1:6" x14ac:dyDescent="0.35">
      <c r="A53" s="1" t="s">
        <v>13</v>
      </c>
      <c r="B53">
        <v>60</v>
      </c>
      <c r="C53" t="s">
        <v>901</v>
      </c>
      <c r="E53" s="4">
        <f>SUM($F$9:G52)+0.1</f>
        <v>15.1</v>
      </c>
      <c r="F53" s="4">
        <v>10</v>
      </c>
    </row>
    <row r="54" spans="1:6" x14ac:dyDescent="0.35">
      <c r="A54" s="1" t="s">
        <v>842</v>
      </c>
      <c r="B54">
        <v>30</v>
      </c>
      <c r="C54" t="s">
        <v>903</v>
      </c>
      <c r="E54" s="4">
        <f>SUM($F$9:G53)+0.1</f>
        <v>25.1</v>
      </c>
      <c r="F54" s="4"/>
    </row>
    <row r="55" spans="1:6" x14ac:dyDescent="0.35">
      <c r="A55" s="1" t="s">
        <v>1844</v>
      </c>
      <c r="E55" s="4">
        <f>SUM($F$9:G54)+0.1</f>
        <v>25.1</v>
      </c>
      <c r="F55" s="4"/>
    </row>
    <row r="56" spans="1:6" x14ac:dyDescent="0.35">
      <c r="A56" s="1" t="s">
        <v>16</v>
      </c>
      <c r="B56">
        <v>60</v>
      </c>
      <c r="C56" t="s">
        <v>900</v>
      </c>
      <c r="E56" s="4">
        <f>SUM($F$9:G55)+0.1</f>
        <v>25.1</v>
      </c>
      <c r="F56" s="4">
        <v>5</v>
      </c>
    </row>
    <row r="57" spans="1:6" x14ac:dyDescent="0.35">
      <c r="A57" s="1" t="s">
        <v>235</v>
      </c>
      <c r="B57">
        <v>60</v>
      </c>
      <c r="C57" t="s">
        <v>901</v>
      </c>
      <c r="E57" s="4">
        <f>SUM($F$9:G56)+0.1</f>
        <v>30.1</v>
      </c>
      <c r="F57" s="4"/>
    </row>
    <row r="58" spans="1:6" x14ac:dyDescent="0.35">
      <c r="A58" s="1" t="s">
        <v>829</v>
      </c>
      <c r="B58">
        <v>60</v>
      </c>
      <c r="C58" t="s">
        <v>900</v>
      </c>
      <c r="E58" s="4">
        <f>SUM($F$9:G57)+0.1</f>
        <v>30.1</v>
      </c>
      <c r="F58" s="4"/>
    </row>
    <row r="59" spans="1:6" x14ac:dyDescent="0.35">
      <c r="A59" s="1" t="s">
        <v>793</v>
      </c>
      <c r="B59">
        <v>60</v>
      </c>
      <c r="C59" t="s">
        <v>901</v>
      </c>
      <c r="E59" s="4">
        <f>SUM($F$9:G58)+0.1</f>
        <v>30.1</v>
      </c>
      <c r="F59" s="4"/>
    </row>
    <row r="60" spans="1:6" x14ac:dyDescent="0.35">
      <c r="A60" s="12" t="s">
        <v>236</v>
      </c>
      <c r="B60">
        <v>60</v>
      </c>
      <c r="C60" t="s">
        <v>903</v>
      </c>
      <c r="E60" s="4">
        <f>SUM($F$9:G59)+0.1</f>
        <v>30.1</v>
      </c>
      <c r="F60" s="4">
        <v>20</v>
      </c>
    </row>
    <row r="61" spans="1:6" x14ac:dyDescent="0.35">
      <c r="A61" s="1" t="s">
        <v>1837</v>
      </c>
      <c r="E61" s="4">
        <f>SUM($F$9:G60)+0.1</f>
        <v>50.1</v>
      </c>
      <c r="F61" s="4">
        <v>5</v>
      </c>
    </row>
    <row r="62" spans="1:6" x14ac:dyDescent="0.35">
      <c r="A62" s="1" t="s">
        <v>238</v>
      </c>
      <c r="B62">
        <v>60</v>
      </c>
      <c r="C62">
        <v>1</v>
      </c>
      <c r="E62" s="4">
        <f>SUM($F$9:G61)+0.1</f>
        <v>55.1</v>
      </c>
      <c r="F62" s="4"/>
    </row>
    <row r="63" spans="1:6" x14ac:dyDescent="0.35">
      <c r="A63" s="1" t="s">
        <v>794</v>
      </c>
      <c r="B63">
        <v>60</v>
      </c>
      <c r="C63" t="s">
        <v>900</v>
      </c>
      <c r="E63" s="4">
        <f>SUM($F$9:G62)+0.1</f>
        <v>55.1</v>
      </c>
      <c r="F63" s="4"/>
    </row>
    <row r="64" spans="1:6" x14ac:dyDescent="0.35">
      <c r="A64" s="1" t="s">
        <v>593</v>
      </c>
      <c r="B64">
        <v>60</v>
      </c>
      <c r="C64" t="s">
        <v>900</v>
      </c>
      <c r="E64" s="4">
        <f>SUM($F$9:G63)+0.1</f>
        <v>55.1</v>
      </c>
      <c r="F64" s="4"/>
    </row>
    <row r="65" spans="1:6" x14ac:dyDescent="0.35">
      <c r="A65" s="1" t="s">
        <v>241</v>
      </c>
      <c r="B65">
        <v>60</v>
      </c>
      <c r="C65" t="s">
        <v>901</v>
      </c>
      <c r="E65" s="4">
        <f>SUM($F$9:G64)+0.1</f>
        <v>55.1</v>
      </c>
      <c r="F65" s="4"/>
    </row>
    <row r="66" spans="1:6" x14ac:dyDescent="0.35">
      <c r="A66" s="1" t="s">
        <v>844</v>
      </c>
      <c r="B66">
        <v>60</v>
      </c>
      <c r="C66">
        <v>1</v>
      </c>
      <c r="E66" s="4">
        <f>SUM($F$9:G65)+0.1</f>
        <v>55.1</v>
      </c>
      <c r="F66" s="4"/>
    </row>
    <row r="67" spans="1:6" x14ac:dyDescent="0.35">
      <c r="A67" s="1" t="s">
        <v>845</v>
      </c>
      <c r="B67">
        <v>30</v>
      </c>
      <c r="C67">
        <v>1</v>
      </c>
      <c r="E67" s="4">
        <f>SUM($F$9:G66)+0.1</f>
        <v>55.1</v>
      </c>
      <c r="F67" s="4"/>
    </row>
    <row r="68" spans="1:6" x14ac:dyDescent="0.35">
      <c r="A68" s="1" t="s">
        <v>864</v>
      </c>
      <c r="B68">
        <v>60</v>
      </c>
      <c r="C68">
        <v>1</v>
      </c>
      <c r="E68" s="4">
        <f>SUM($F$9:G67)+0.1</f>
        <v>55.1</v>
      </c>
      <c r="F68" s="4"/>
    </row>
    <row r="69" spans="1:6" x14ac:dyDescent="0.35">
      <c r="A69" s="1" t="s">
        <v>475</v>
      </c>
      <c r="B69">
        <v>60</v>
      </c>
      <c r="C69" t="s">
        <v>901</v>
      </c>
      <c r="E69" s="4">
        <f>SUM($F$9:G68)+0.1</f>
        <v>55.1</v>
      </c>
      <c r="F69" s="4"/>
    </row>
    <row r="70" spans="1:6" x14ac:dyDescent="0.35">
      <c r="A70" s="1" t="s">
        <v>478</v>
      </c>
      <c r="B70">
        <v>60</v>
      </c>
      <c r="C70" t="s">
        <v>900</v>
      </c>
      <c r="E70" s="4">
        <f>SUM($F$9:G69)+0.1</f>
        <v>55.1</v>
      </c>
      <c r="F70" s="4"/>
    </row>
    <row r="71" spans="1:6" x14ac:dyDescent="0.35">
      <c r="A71" s="1" t="s">
        <v>31</v>
      </c>
      <c r="B71">
        <v>60</v>
      </c>
      <c r="C71" t="s">
        <v>901</v>
      </c>
      <c r="E71" s="4">
        <f>SUM($F$9:G70)+0.1</f>
        <v>55.1</v>
      </c>
      <c r="F71" s="4"/>
    </row>
    <row r="72" spans="1:6" x14ac:dyDescent="0.35">
      <c r="A72" s="1" t="s">
        <v>387</v>
      </c>
      <c r="B72">
        <v>30</v>
      </c>
      <c r="C72" t="s">
        <v>901</v>
      </c>
      <c r="E72" s="4">
        <f>SUM($F$9:G71)+0.1</f>
        <v>55.1</v>
      </c>
      <c r="F72" s="4"/>
    </row>
    <row r="73" spans="1:6" x14ac:dyDescent="0.35">
      <c r="A73" s="1" t="s">
        <v>32</v>
      </c>
      <c r="B73">
        <v>30</v>
      </c>
      <c r="C73" t="s">
        <v>903</v>
      </c>
      <c r="E73" s="4">
        <f>SUM($F$9:G72)+0.1</f>
        <v>55.1</v>
      </c>
      <c r="F73" s="4"/>
    </row>
    <row r="74" spans="1:6" x14ac:dyDescent="0.35">
      <c r="A74" s="1" t="s">
        <v>246</v>
      </c>
      <c r="B74">
        <v>60</v>
      </c>
      <c r="C74" t="s">
        <v>901</v>
      </c>
      <c r="E74" s="4">
        <f>SUM($F$9:G73)+0.1</f>
        <v>55.1</v>
      </c>
      <c r="F74" s="4"/>
    </row>
    <row r="75" spans="1:6" x14ac:dyDescent="0.35">
      <c r="A75" s="1" t="s">
        <v>247</v>
      </c>
      <c r="B75">
        <v>60</v>
      </c>
      <c r="C75" t="s">
        <v>900</v>
      </c>
      <c r="E75" s="4">
        <f>SUM($F$9:G74)+0.1</f>
        <v>55.1</v>
      </c>
      <c r="F75" s="4"/>
    </row>
    <row r="76" spans="1:6" x14ac:dyDescent="0.35">
      <c r="A76" s="1" t="s">
        <v>248</v>
      </c>
      <c r="B76">
        <v>60</v>
      </c>
      <c r="C76" t="s">
        <v>901</v>
      </c>
      <c r="E76" s="4">
        <f>SUM($F$9:G75)+0.1</f>
        <v>55.1</v>
      </c>
      <c r="F76" s="4"/>
    </row>
    <row r="77" spans="1:6" x14ac:dyDescent="0.35">
      <c r="A77" s="1" t="s">
        <v>249</v>
      </c>
      <c r="B77">
        <v>30</v>
      </c>
      <c r="C77" t="s">
        <v>903</v>
      </c>
      <c r="E77" s="4">
        <f>SUM($F$9:G76)+0.1</f>
        <v>55.1</v>
      </c>
      <c r="F77" s="4"/>
    </row>
    <row r="78" spans="1:6" x14ac:dyDescent="0.35">
      <c r="A78" s="1" t="s">
        <v>795</v>
      </c>
      <c r="B78">
        <v>30</v>
      </c>
      <c r="C78" t="s">
        <v>903</v>
      </c>
      <c r="E78" s="4">
        <f>SUM($F$9:G77)+0.1</f>
        <v>55.1</v>
      </c>
      <c r="F78" s="4"/>
    </row>
    <row r="79" spans="1:6" x14ac:dyDescent="0.35">
      <c r="A79" s="1" t="s">
        <v>388</v>
      </c>
      <c r="B79">
        <v>60</v>
      </c>
      <c r="C79" t="s">
        <v>900</v>
      </c>
      <c r="E79" s="4">
        <f>SUM($F$9:G78)+0.1</f>
        <v>55.1</v>
      </c>
      <c r="F79" s="4"/>
    </row>
    <row r="80" spans="1:6" x14ac:dyDescent="0.35">
      <c r="A80" s="1" t="s">
        <v>34</v>
      </c>
      <c r="B80">
        <v>60</v>
      </c>
      <c r="C80">
        <v>1</v>
      </c>
      <c r="E80" s="4">
        <f>SUM($F$9:G79)+0.1</f>
        <v>55.1</v>
      </c>
      <c r="F80" s="4"/>
    </row>
    <row r="81" spans="1:7" x14ac:dyDescent="0.35">
      <c r="A81" s="1" t="s">
        <v>250</v>
      </c>
      <c r="B81">
        <v>60</v>
      </c>
      <c r="C81" t="s">
        <v>900</v>
      </c>
      <c r="E81" s="4">
        <f>SUM($F$9:G80)+0.1</f>
        <v>55.1</v>
      </c>
      <c r="F81" s="4"/>
    </row>
    <row r="82" spans="1:7" x14ac:dyDescent="0.35">
      <c r="A82" s="1" t="s">
        <v>251</v>
      </c>
      <c r="B82">
        <v>60</v>
      </c>
      <c r="C82" t="s">
        <v>900</v>
      </c>
      <c r="E82" s="4">
        <f>SUM($F$9:G81)+0.1</f>
        <v>55.1</v>
      </c>
      <c r="F82" s="4"/>
    </row>
    <row r="83" spans="1:7" x14ac:dyDescent="0.35">
      <c r="A83" s="1" t="s">
        <v>177</v>
      </c>
      <c r="B83">
        <v>60</v>
      </c>
      <c r="C83" t="s">
        <v>900</v>
      </c>
      <c r="E83" s="4">
        <f>SUM($F$9:G82)+0.1</f>
        <v>55.1</v>
      </c>
      <c r="F83" s="4"/>
    </row>
    <row r="84" spans="1:7" x14ac:dyDescent="0.35">
      <c r="A84" s="1" t="s">
        <v>832</v>
      </c>
      <c r="B84">
        <v>60</v>
      </c>
      <c r="C84" t="s">
        <v>901</v>
      </c>
      <c r="E84" s="4">
        <f>SUM($F$9:G83)+0.1</f>
        <v>55.1</v>
      </c>
      <c r="F84" s="4"/>
    </row>
    <row r="85" spans="1:7" x14ac:dyDescent="0.35">
      <c r="A85" s="12" t="s">
        <v>389</v>
      </c>
      <c r="B85">
        <v>60</v>
      </c>
      <c r="C85" t="s">
        <v>903</v>
      </c>
      <c r="E85" s="4">
        <f>SUM($F$9:G84)+0.1</f>
        <v>55.1</v>
      </c>
      <c r="F85" s="4"/>
      <c r="G85">
        <v>250</v>
      </c>
    </row>
    <row r="86" spans="1:7" x14ac:dyDescent="0.35">
      <c r="A86" s="1" t="s">
        <v>483</v>
      </c>
      <c r="B86">
        <v>60</v>
      </c>
      <c r="C86" t="s">
        <v>903</v>
      </c>
      <c r="E86" s="4">
        <f>SUM($F$9:G85)+0.1</f>
        <v>305.10000000000002</v>
      </c>
      <c r="F86" s="4"/>
    </row>
    <row r="87" spans="1:7" x14ac:dyDescent="0.35">
      <c r="A87" s="1" t="s">
        <v>390</v>
      </c>
      <c r="B87">
        <v>60</v>
      </c>
      <c r="C87" t="s">
        <v>900</v>
      </c>
      <c r="E87" s="4">
        <f>SUM($F$9:G86)+0.1</f>
        <v>305.10000000000002</v>
      </c>
      <c r="F87" s="4"/>
    </row>
    <row r="88" spans="1:7" x14ac:dyDescent="0.35">
      <c r="A88" s="1" t="s">
        <v>556</v>
      </c>
      <c r="B88">
        <v>60</v>
      </c>
      <c r="C88" t="s">
        <v>900</v>
      </c>
      <c r="E88" s="4">
        <f>SUM($F$9:G87)+0.1</f>
        <v>305.10000000000002</v>
      </c>
      <c r="F88" s="4"/>
    </row>
    <row r="89" spans="1:7" x14ac:dyDescent="0.35">
      <c r="A89" s="1" t="s">
        <v>253</v>
      </c>
      <c r="B89">
        <v>60</v>
      </c>
      <c r="C89" t="s">
        <v>901</v>
      </c>
      <c r="E89" s="4">
        <f>SUM($F$9:G88)+0.1</f>
        <v>305.10000000000002</v>
      </c>
      <c r="F89" s="4"/>
      <c r="G89">
        <v>50</v>
      </c>
    </row>
    <row r="90" spans="1:7" x14ac:dyDescent="0.35">
      <c r="A90" s="1" t="s">
        <v>254</v>
      </c>
      <c r="B90">
        <v>60</v>
      </c>
      <c r="C90">
        <v>1</v>
      </c>
      <c r="E90" s="4">
        <f>SUM($F$9:G89)+0.1</f>
        <v>355.1</v>
      </c>
      <c r="F90" s="4"/>
    </row>
    <row r="91" spans="1:7" x14ac:dyDescent="0.35">
      <c r="A91" s="1" t="s">
        <v>181</v>
      </c>
      <c r="E91" s="4">
        <f>SUM($F$9:G90)+0.1</f>
        <v>355.1</v>
      </c>
      <c r="F91" s="4"/>
    </row>
    <row r="92" spans="1:7" x14ac:dyDescent="0.35">
      <c r="A92" s="1" t="s">
        <v>488</v>
      </c>
      <c r="B92">
        <v>60</v>
      </c>
      <c r="C92" t="s">
        <v>900</v>
      </c>
      <c r="E92" s="4">
        <f>SUM($F$9:G91)+0.1</f>
        <v>355.1</v>
      </c>
      <c r="F92" s="4"/>
    </row>
    <row r="93" spans="1:7" x14ac:dyDescent="0.35">
      <c r="A93" s="1" t="s">
        <v>487</v>
      </c>
      <c r="B93">
        <v>60</v>
      </c>
      <c r="C93" t="s">
        <v>900</v>
      </c>
      <c r="E93" s="4">
        <f>SUM($F$9:G92)+0.1</f>
        <v>355.1</v>
      </c>
      <c r="F93" s="4"/>
    </row>
    <row r="94" spans="1:7" x14ac:dyDescent="0.35">
      <c r="A94" s="1" t="s">
        <v>486</v>
      </c>
      <c r="B94">
        <v>60</v>
      </c>
      <c r="C94" t="s">
        <v>900</v>
      </c>
      <c r="E94" s="4">
        <f>SUM($F$9:G93)+0.1</f>
        <v>355.1</v>
      </c>
      <c r="F94" s="4"/>
    </row>
    <row r="95" spans="1:7" x14ac:dyDescent="0.35">
      <c r="A95" s="1" t="s">
        <v>1834</v>
      </c>
      <c r="E95" s="4">
        <f>SUM($F$9:G94)+0.1</f>
        <v>355.1</v>
      </c>
      <c r="F95" s="4"/>
    </row>
    <row r="96" spans="1:7" x14ac:dyDescent="0.35">
      <c r="A96" s="1" t="s">
        <v>733</v>
      </c>
      <c r="B96">
        <v>60</v>
      </c>
      <c r="C96" t="s">
        <v>903</v>
      </c>
      <c r="E96" s="4">
        <f>SUM($F$9:G95)+0.1</f>
        <v>355.1</v>
      </c>
      <c r="F96" s="4"/>
    </row>
    <row r="97" spans="1:6" x14ac:dyDescent="0.35">
      <c r="A97" s="1" t="s">
        <v>1853</v>
      </c>
      <c r="E97" s="4">
        <f>SUM($F$9:G96)+0.1</f>
        <v>355.1</v>
      </c>
      <c r="F97" s="4"/>
    </row>
    <row r="98" spans="1:6" x14ac:dyDescent="0.35">
      <c r="A98" s="1" t="s">
        <v>391</v>
      </c>
      <c r="B98">
        <v>60</v>
      </c>
      <c r="C98">
        <v>1</v>
      </c>
      <c r="E98" s="4">
        <f>SUM($F$9:G97)+0.1</f>
        <v>355.1</v>
      </c>
      <c r="F98" s="4"/>
    </row>
    <row r="99" spans="1:6" x14ac:dyDescent="0.35">
      <c r="A99" s="1" t="s">
        <v>558</v>
      </c>
      <c r="B99">
        <v>60</v>
      </c>
      <c r="C99" t="s">
        <v>900</v>
      </c>
      <c r="E99" s="4">
        <f>SUM($F$9:G98)+0.1</f>
        <v>355.1</v>
      </c>
      <c r="F99" s="4"/>
    </row>
    <row r="100" spans="1:6" x14ac:dyDescent="0.35">
      <c r="A100" s="1" t="s">
        <v>392</v>
      </c>
      <c r="B100">
        <v>60</v>
      </c>
      <c r="C100" t="s">
        <v>900</v>
      </c>
      <c r="E100" s="4">
        <f>SUM($F$9:G99)+0.1</f>
        <v>355.1</v>
      </c>
      <c r="F100" s="4"/>
    </row>
    <row r="101" spans="1:6" x14ac:dyDescent="0.35">
      <c r="A101" s="1" t="s">
        <v>1898</v>
      </c>
      <c r="E101" s="4">
        <f>SUM($F$9:G100)+0.1</f>
        <v>355.1</v>
      </c>
      <c r="F101" s="4"/>
    </row>
    <row r="102" spans="1:6" x14ac:dyDescent="0.35">
      <c r="A102" s="1" t="s">
        <v>393</v>
      </c>
      <c r="B102">
        <v>60</v>
      </c>
      <c r="C102" t="s">
        <v>900</v>
      </c>
      <c r="E102" s="4">
        <f>SUM($F$9:G101)+0.1</f>
        <v>355.1</v>
      </c>
      <c r="F102" s="4"/>
    </row>
    <row r="103" spans="1:6" x14ac:dyDescent="0.35">
      <c r="A103" s="1" t="s">
        <v>491</v>
      </c>
      <c r="B103">
        <v>60</v>
      </c>
      <c r="C103" t="s">
        <v>901</v>
      </c>
      <c r="E103" s="4">
        <f>SUM($F$9:G102)+0.1</f>
        <v>355.1</v>
      </c>
      <c r="F103" s="4"/>
    </row>
    <row r="104" spans="1:6" x14ac:dyDescent="0.35">
      <c r="A104" s="1" t="s">
        <v>778</v>
      </c>
      <c r="B104">
        <v>60</v>
      </c>
      <c r="C104" t="s">
        <v>900</v>
      </c>
      <c r="E104" s="4">
        <f>SUM($F$9:G103)+0.1</f>
        <v>355.1</v>
      </c>
      <c r="F104" s="4"/>
    </row>
    <row r="105" spans="1:6" x14ac:dyDescent="0.35">
      <c r="A105" s="1" t="s">
        <v>259</v>
      </c>
      <c r="B105">
        <v>60</v>
      </c>
      <c r="C105" t="s">
        <v>903</v>
      </c>
      <c r="E105" s="4">
        <f>SUM($F$9:G104)+0.1</f>
        <v>355.1</v>
      </c>
      <c r="F105" s="4"/>
    </row>
    <row r="106" spans="1:6" x14ac:dyDescent="0.35">
      <c r="A106" s="1" t="s">
        <v>260</v>
      </c>
      <c r="B106">
        <v>60</v>
      </c>
      <c r="C106" t="s">
        <v>900</v>
      </c>
      <c r="E106" s="4">
        <f>SUM($F$9:G105)+0.1</f>
        <v>355.1</v>
      </c>
      <c r="F106" s="4"/>
    </row>
    <row r="107" spans="1:6" x14ac:dyDescent="0.35">
      <c r="A107" s="1" t="s">
        <v>39</v>
      </c>
      <c r="B107">
        <v>30</v>
      </c>
      <c r="C107" t="s">
        <v>903</v>
      </c>
      <c r="E107" s="4">
        <f>SUM($F$9:G106)+0.1</f>
        <v>355.1</v>
      </c>
      <c r="F107" s="4">
        <v>25</v>
      </c>
    </row>
    <row r="108" spans="1:6" x14ac:dyDescent="0.35">
      <c r="A108" s="1" t="s">
        <v>261</v>
      </c>
      <c r="B108">
        <v>60</v>
      </c>
      <c r="C108" t="s">
        <v>900</v>
      </c>
      <c r="E108" s="4">
        <f>SUM($F$9:G107)+0.1</f>
        <v>380.1</v>
      </c>
      <c r="F108" s="4"/>
    </row>
    <row r="109" spans="1:6" x14ac:dyDescent="0.35">
      <c r="A109" s="1" t="s">
        <v>492</v>
      </c>
      <c r="B109">
        <v>60</v>
      </c>
      <c r="C109" t="s">
        <v>901</v>
      </c>
      <c r="E109" s="4">
        <f>SUM($F$9:G108)+0.1</f>
        <v>380.1</v>
      </c>
      <c r="F109" s="4"/>
    </row>
    <row r="110" spans="1:6" x14ac:dyDescent="0.35">
      <c r="A110" s="1" t="s">
        <v>1857</v>
      </c>
      <c r="E110" s="4">
        <f>SUM($F$9:G109)+0.1</f>
        <v>380.1</v>
      </c>
      <c r="F110" s="4"/>
    </row>
    <row r="111" spans="1:6" x14ac:dyDescent="0.35">
      <c r="A111" s="1" t="s">
        <v>847</v>
      </c>
      <c r="B111">
        <v>60</v>
      </c>
      <c r="C111" t="s">
        <v>903</v>
      </c>
      <c r="E111" s="4">
        <f>SUM($F$9:G110)+0.1</f>
        <v>380.1</v>
      </c>
      <c r="F111" s="4"/>
    </row>
    <row r="112" spans="1:6" x14ac:dyDescent="0.35">
      <c r="A112" s="1" t="s">
        <v>262</v>
      </c>
      <c r="B112">
        <v>60</v>
      </c>
      <c r="C112" t="s">
        <v>901</v>
      </c>
      <c r="E112" s="4">
        <f>SUM($F$9:G111)+0.1</f>
        <v>380.1</v>
      </c>
      <c r="F112" s="4"/>
    </row>
    <row r="113" spans="1:6" x14ac:dyDescent="0.35">
      <c r="A113" s="1" t="s">
        <v>557</v>
      </c>
      <c r="B113">
        <v>60</v>
      </c>
      <c r="C113" t="s">
        <v>901</v>
      </c>
      <c r="E113" s="4">
        <f>SUM($F$9:G112)+0.1</f>
        <v>380.1</v>
      </c>
      <c r="F113" s="4"/>
    </row>
    <row r="114" spans="1:6" x14ac:dyDescent="0.35">
      <c r="A114" s="1" t="s">
        <v>42</v>
      </c>
      <c r="B114">
        <v>30</v>
      </c>
      <c r="C114" t="s">
        <v>903</v>
      </c>
      <c r="E114" s="4">
        <f>SUM($F$9:G113)+0.1</f>
        <v>380.1</v>
      </c>
      <c r="F114" s="4"/>
    </row>
    <row r="115" spans="1:6" x14ac:dyDescent="0.35">
      <c r="A115" s="1" t="s">
        <v>1890</v>
      </c>
      <c r="E115" s="4">
        <f>SUM($F$9:G114)+0.1</f>
        <v>380.1</v>
      </c>
      <c r="F115" s="4">
        <v>15</v>
      </c>
    </row>
    <row r="116" spans="1:6" x14ac:dyDescent="0.35">
      <c r="A116" s="1" t="s">
        <v>670</v>
      </c>
      <c r="B116">
        <v>60</v>
      </c>
      <c r="C116" t="s">
        <v>900</v>
      </c>
      <c r="E116" s="4">
        <f>SUM($F$9:G115)+0.1</f>
        <v>395.1</v>
      </c>
      <c r="F116" s="4"/>
    </row>
    <row r="117" spans="1:6" x14ac:dyDescent="0.35">
      <c r="A117" s="1" t="s">
        <v>779</v>
      </c>
      <c r="B117">
        <v>60</v>
      </c>
      <c r="C117" t="s">
        <v>901</v>
      </c>
      <c r="E117" s="4">
        <f>SUM($F$9:G116)+0.1</f>
        <v>395.1</v>
      </c>
      <c r="F117" s="4"/>
    </row>
    <row r="118" spans="1:6" x14ac:dyDescent="0.35">
      <c r="A118" s="1" t="s">
        <v>395</v>
      </c>
      <c r="B118">
        <v>60</v>
      </c>
      <c r="C118" t="s">
        <v>901</v>
      </c>
      <c r="E118" s="4">
        <f>SUM($F$9:G117)+0.1</f>
        <v>395.1</v>
      </c>
      <c r="F118" s="4"/>
    </row>
    <row r="119" spans="1:6" x14ac:dyDescent="0.35">
      <c r="A119" s="1" t="s">
        <v>601</v>
      </c>
      <c r="B119">
        <v>60</v>
      </c>
      <c r="C119" t="s">
        <v>903</v>
      </c>
      <c r="E119" s="4">
        <f>SUM($F$9:G118)+0.1</f>
        <v>395.1</v>
      </c>
      <c r="F119" s="4"/>
    </row>
    <row r="120" spans="1:6" x14ac:dyDescent="0.35">
      <c r="A120" s="1" t="s">
        <v>833</v>
      </c>
      <c r="B120">
        <v>60</v>
      </c>
      <c r="C120">
        <v>1</v>
      </c>
      <c r="E120" s="4">
        <f>SUM($F$9:G119)+0.1</f>
        <v>395.1</v>
      </c>
      <c r="F120" s="4"/>
    </row>
    <row r="121" spans="1:6" x14ac:dyDescent="0.35">
      <c r="A121" s="1" t="s">
        <v>397</v>
      </c>
      <c r="B121">
        <v>60</v>
      </c>
      <c r="C121" t="s">
        <v>901</v>
      </c>
      <c r="E121" s="4">
        <f>SUM($F$9:G120)+0.1</f>
        <v>395.1</v>
      </c>
      <c r="F121" s="4">
        <v>5</v>
      </c>
    </row>
    <row r="122" spans="1:6" x14ac:dyDescent="0.35">
      <c r="A122" s="1" t="s">
        <v>642</v>
      </c>
      <c r="B122">
        <v>60</v>
      </c>
      <c r="C122" t="s">
        <v>901</v>
      </c>
      <c r="E122" s="4">
        <f>SUM($F$9:G121)+0.1</f>
        <v>400.1</v>
      </c>
      <c r="F122" s="4"/>
    </row>
    <row r="123" spans="1:6" x14ac:dyDescent="0.35">
      <c r="A123" s="1" t="s">
        <v>207</v>
      </c>
      <c r="B123">
        <v>60</v>
      </c>
      <c r="C123" t="s">
        <v>901</v>
      </c>
      <c r="E123" s="4">
        <f>SUM($F$9:G122)+0.1</f>
        <v>400.1</v>
      </c>
      <c r="F123" s="4"/>
    </row>
    <row r="124" spans="1:6" x14ac:dyDescent="0.35">
      <c r="A124" s="1" t="s">
        <v>44</v>
      </c>
      <c r="B124">
        <v>60</v>
      </c>
      <c r="C124" t="s">
        <v>901</v>
      </c>
      <c r="E124" s="4">
        <f>SUM($F$9:G123)+0.1</f>
        <v>400.1</v>
      </c>
      <c r="F124" s="4">
        <v>15</v>
      </c>
    </row>
    <row r="125" spans="1:6" x14ac:dyDescent="0.35">
      <c r="A125" s="1" t="s">
        <v>45</v>
      </c>
      <c r="B125">
        <v>60</v>
      </c>
      <c r="C125" t="s">
        <v>900</v>
      </c>
      <c r="E125" s="4">
        <f>SUM($F$9:G124)+0.1</f>
        <v>415.1</v>
      </c>
      <c r="F125" s="4"/>
    </row>
    <row r="126" spans="1:6" x14ac:dyDescent="0.35">
      <c r="A126" s="1" t="s">
        <v>263</v>
      </c>
      <c r="B126">
        <v>60</v>
      </c>
      <c r="C126" t="s">
        <v>900</v>
      </c>
      <c r="E126" s="4">
        <f>SUM($F$9:G125)+0.1</f>
        <v>415.1</v>
      </c>
      <c r="F126" s="4"/>
    </row>
    <row r="127" spans="1:6" x14ac:dyDescent="0.35">
      <c r="A127" s="1" t="s">
        <v>398</v>
      </c>
      <c r="B127">
        <v>60</v>
      </c>
      <c r="C127" t="s">
        <v>901</v>
      </c>
      <c r="E127" s="4">
        <f>SUM($F$9:G126)+0.1</f>
        <v>415.1</v>
      </c>
      <c r="F127" s="4"/>
    </row>
    <row r="128" spans="1:6" x14ac:dyDescent="0.35">
      <c r="A128" s="1" t="s">
        <v>496</v>
      </c>
      <c r="B128">
        <v>60</v>
      </c>
      <c r="C128" t="s">
        <v>900</v>
      </c>
      <c r="E128" s="4">
        <f>SUM($F$9:G127)+0.1</f>
        <v>415.1</v>
      </c>
      <c r="F128" s="4"/>
    </row>
    <row r="129" spans="1:6" x14ac:dyDescent="0.35">
      <c r="A129" s="1" t="s">
        <v>265</v>
      </c>
      <c r="B129">
        <v>60</v>
      </c>
      <c r="C129" t="s">
        <v>900</v>
      </c>
      <c r="E129" s="4">
        <f>SUM($F$9:G128)+0.1</f>
        <v>415.1</v>
      </c>
      <c r="F129" s="4"/>
    </row>
    <row r="130" spans="1:6" x14ac:dyDescent="0.35">
      <c r="A130" s="1" t="s">
        <v>603</v>
      </c>
      <c r="B130">
        <v>60</v>
      </c>
      <c r="C130" t="s">
        <v>901</v>
      </c>
      <c r="E130" s="4">
        <f>SUM($F$9:G129)+0.1</f>
        <v>415.1</v>
      </c>
      <c r="F130" s="4"/>
    </row>
    <row r="131" spans="1:6" x14ac:dyDescent="0.35">
      <c r="A131" s="1" t="s">
        <v>266</v>
      </c>
      <c r="B131">
        <v>60</v>
      </c>
      <c r="C131" t="s">
        <v>900</v>
      </c>
      <c r="E131" s="4">
        <f>SUM($F$9:G130)+0.1</f>
        <v>415.1</v>
      </c>
      <c r="F131" s="4"/>
    </row>
    <row r="132" spans="1:6" x14ac:dyDescent="0.35">
      <c r="A132" s="1" t="s">
        <v>800</v>
      </c>
      <c r="B132">
        <v>60</v>
      </c>
      <c r="C132" t="s">
        <v>901</v>
      </c>
      <c r="E132" s="4">
        <f>SUM($F$9:G131)+0.1</f>
        <v>415.1</v>
      </c>
      <c r="F132" s="4"/>
    </row>
    <row r="133" spans="1:6" x14ac:dyDescent="0.35">
      <c r="A133" s="1" t="s">
        <v>498</v>
      </c>
      <c r="B133">
        <v>60</v>
      </c>
      <c r="C133" t="s">
        <v>901</v>
      </c>
      <c r="E133" s="4">
        <f>SUM($F$9:G132)+0.1</f>
        <v>415.1</v>
      </c>
      <c r="F133" s="4"/>
    </row>
    <row r="134" spans="1:6" x14ac:dyDescent="0.35">
      <c r="A134" s="1" t="s">
        <v>268</v>
      </c>
      <c r="B134">
        <v>60</v>
      </c>
      <c r="C134" t="s">
        <v>900</v>
      </c>
      <c r="E134" s="4">
        <f>SUM($F$9:G133)+0.1</f>
        <v>415.1</v>
      </c>
      <c r="F134" s="4"/>
    </row>
    <row r="135" spans="1:6" x14ac:dyDescent="0.35">
      <c r="A135" s="1" t="s">
        <v>500</v>
      </c>
      <c r="B135">
        <v>60</v>
      </c>
      <c r="C135" t="s">
        <v>901</v>
      </c>
      <c r="E135" s="4">
        <f>SUM($F$9:G134)+0.1</f>
        <v>415.1</v>
      </c>
      <c r="F135" s="4"/>
    </row>
    <row r="136" spans="1:6" x14ac:dyDescent="0.35">
      <c r="A136" s="13" t="s">
        <v>501</v>
      </c>
      <c r="B136">
        <v>60</v>
      </c>
      <c r="C136">
        <v>1</v>
      </c>
      <c r="E136" s="4">
        <f>SUM($F$9:G135)+0.1</f>
        <v>415.1</v>
      </c>
      <c r="F136" s="4"/>
    </row>
    <row r="137" spans="1:6" x14ac:dyDescent="0.35">
      <c r="A137" s="1" t="s">
        <v>561</v>
      </c>
      <c r="B137">
        <v>60</v>
      </c>
      <c r="C137" t="s">
        <v>901</v>
      </c>
      <c r="D137" t="s">
        <v>902</v>
      </c>
      <c r="E137" s="4">
        <f>SUM($F$9:G136)+0.1</f>
        <v>415.1</v>
      </c>
      <c r="F137" s="4"/>
    </row>
    <row r="138" spans="1:6" x14ac:dyDescent="0.35">
      <c r="A138" s="1" t="s">
        <v>676</v>
      </c>
      <c r="B138">
        <v>60</v>
      </c>
      <c r="C138" t="s">
        <v>901</v>
      </c>
      <c r="E138" s="4">
        <f>SUM($F$9:G137)+0.1</f>
        <v>415.1</v>
      </c>
      <c r="F138" s="4"/>
    </row>
    <row r="139" spans="1:6" x14ac:dyDescent="0.35">
      <c r="A139" s="1" t="s">
        <v>56</v>
      </c>
      <c r="B139">
        <v>60</v>
      </c>
      <c r="C139" t="s">
        <v>903</v>
      </c>
      <c r="E139" s="4">
        <f>SUM($F$9:G138)+0.1</f>
        <v>415.1</v>
      </c>
      <c r="F139" s="4"/>
    </row>
    <row r="140" spans="1:6" x14ac:dyDescent="0.35">
      <c r="A140" s="1" t="s">
        <v>678</v>
      </c>
      <c r="B140">
        <v>60</v>
      </c>
      <c r="C140" t="s">
        <v>900</v>
      </c>
      <c r="E140" s="4">
        <f>SUM($F$9:G139)+0.1</f>
        <v>415.1</v>
      </c>
      <c r="F140" s="4"/>
    </row>
    <row r="141" spans="1:6" x14ac:dyDescent="0.35">
      <c r="A141" s="1" t="s">
        <v>1888</v>
      </c>
      <c r="E141" s="4">
        <f>SUM($F$9:G140)+0.1</f>
        <v>415.1</v>
      </c>
      <c r="F141" s="4">
        <v>5</v>
      </c>
    </row>
    <row r="142" spans="1:6" x14ac:dyDescent="0.35">
      <c r="A142" s="1" t="s">
        <v>273</v>
      </c>
      <c r="B142">
        <v>60</v>
      </c>
      <c r="C142">
        <v>1</v>
      </c>
      <c r="E142" s="4">
        <f>SUM($F$9:G141)+0.1</f>
        <v>420.1</v>
      </c>
      <c r="F142" s="4"/>
    </row>
    <row r="143" spans="1:6" x14ac:dyDescent="0.35">
      <c r="A143" s="1" t="s">
        <v>1849</v>
      </c>
      <c r="E143" s="4">
        <f>SUM($F$9:G142)+0.1</f>
        <v>420.1</v>
      </c>
      <c r="F143" s="4"/>
    </row>
    <row r="144" spans="1:6" x14ac:dyDescent="0.35">
      <c r="A144" s="1" t="s">
        <v>276</v>
      </c>
      <c r="B144">
        <v>60</v>
      </c>
      <c r="C144" t="s">
        <v>903</v>
      </c>
      <c r="E144" s="4">
        <f>SUM($F$9:G143)+0.1</f>
        <v>420.1</v>
      </c>
      <c r="F144" s="4"/>
    </row>
    <row r="145" spans="1:7" x14ac:dyDescent="0.35">
      <c r="A145" s="1" t="s">
        <v>277</v>
      </c>
      <c r="B145">
        <v>60</v>
      </c>
      <c r="C145">
        <v>1</v>
      </c>
      <c r="E145" s="4">
        <f>SUM($F$9:G144)+0.1</f>
        <v>420.1</v>
      </c>
      <c r="F145" s="4"/>
    </row>
    <row r="146" spans="1:7" x14ac:dyDescent="0.35">
      <c r="A146" s="1" t="s">
        <v>280</v>
      </c>
      <c r="B146">
        <v>30</v>
      </c>
      <c r="C146" t="s">
        <v>900</v>
      </c>
      <c r="E146" s="4">
        <f>SUM($F$9:G145)+0.1</f>
        <v>420.1</v>
      </c>
      <c r="F146" s="4"/>
    </row>
    <row r="147" spans="1:7" x14ac:dyDescent="0.35">
      <c r="A147" s="1" t="s">
        <v>281</v>
      </c>
      <c r="B147">
        <v>30</v>
      </c>
      <c r="C147" t="s">
        <v>903</v>
      </c>
      <c r="E147" s="4">
        <f>SUM($F$9:G146)+0.1</f>
        <v>420.1</v>
      </c>
      <c r="F147" s="4"/>
    </row>
    <row r="148" spans="1:7" x14ac:dyDescent="0.35">
      <c r="A148" s="1" t="s">
        <v>735</v>
      </c>
      <c r="B148">
        <v>60</v>
      </c>
      <c r="C148" t="s">
        <v>900</v>
      </c>
      <c r="E148" s="4">
        <f>SUM($F$9:G147)+0.1</f>
        <v>420.1</v>
      </c>
      <c r="F148" s="4"/>
    </row>
    <row r="149" spans="1:7" x14ac:dyDescent="0.35">
      <c r="A149" s="1" t="s">
        <v>282</v>
      </c>
      <c r="B149">
        <v>60</v>
      </c>
      <c r="C149" t="s">
        <v>900</v>
      </c>
      <c r="E149" s="4">
        <f>SUM($F$9:G148)+0.1</f>
        <v>420.1</v>
      </c>
      <c r="F149" s="4"/>
    </row>
    <row r="150" spans="1:7" x14ac:dyDescent="0.35">
      <c r="A150" s="1" t="s">
        <v>686</v>
      </c>
      <c r="B150">
        <v>60</v>
      </c>
      <c r="C150" t="s">
        <v>900</v>
      </c>
      <c r="E150" s="4">
        <f>SUM($F$9:G149)+0.1</f>
        <v>420.1</v>
      </c>
      <c r="F150" s="4"/>
    </row>
    <row r="151" spans="1:7" x14ac:dyDescent="0.35">
      <c r="A151" s="1" t="s">
        <v>283</v>
      </c>
      <c r="B151">
        <v>60</v>
      </c>
      <c r="C151" t="s">
        <v>900</v>
      </c>
      <c r="E151" s="4">
        <f>SUM($F$9:G150)+0.1</f>
        <v>420.1</v>
      </c>
      <c r="F151" s="4"/>
    </row>
    <row r="152" spans="1:7" x14ac:dyDescent="0.35">
      <c r="A152" s="1" t="s">
        <v>284</v>
      </c>
      <c r="B152">
        <v>60</v>
      </c>
      <c r="C152" t="s">
        <v>901</v>
      </c>
      <c r="E152" s="4">
        <f>SUM($F$9:G151)+0.1</f>
        <v>420.1</v>
      </c>
      <c r="F152" s="4">
        <v>15</v>
      </c>
      <c r="G152">
        <v>200</v>
      </c>
    </row>
    <row r="153" spans="1:7" x14ac:dyDescent="0.35">
      <c r="A153" s="1" t="s">
        <v>613</v>
      </c>
      <c r="B153">
        <v>60</v>
      </c>
      <c r="C153" t="s">
        <v>900</v>
      </c>
      <c r="E153" s="4">
        <f>SUM($F$9:G152)+0.1</f>
        <v>635.1</v>
      </c>
      <c r="F153" s="4"/>
    </row>
    <row r="154" spans="1:7" x14ac:dyDescent="0.35">
      <c r="A154" s="1" t="s">
        <v>612</v>
      </c>
      <c r="B154">
        <v>60</v>
      </c>
      <c r="C154" t="s">
        <v>900</v>
      </c>
      <c r="E154" s="4">
        <f>SUM($F$9:G153)+0.1</f>
        <v>635.1</v>
      </c>
      <c r="F154" s="4"/>
    </row>
    <row r="155" spans="1:7" x14ac:dyDescent="0.35">
      <c r="A155" s="1" t="s">
        <v>285</v>
      </c>
      <c r="B155">
        <v>60</v>
      </c>
      <c r="C155" t="s">
        <v>900</v>
      </c>
      <c r="E155" s="4">
        <f>SUM($F$9:G154)+0.1</f>
        <v>635.1</v>
      </c>
      <c r="F155" s="4"/>
    </row>
    <row r="156" spans="1:7" x14ac:dyDescent="0.35">
      <c r="A156" s="1" t="s">
        <v>688</v>
      </c>
      <c r="B156">
        <v>30</v>
      </c>
      <c r="C156" t="s">
        <v>900</v>
      </c>
      <c r="E156" s="4">
        <f>SUM($F$9:G155)+0.1</f>
        <v>635.1</v>
      </c>
      <c r="F156" s="4"/>
    </row>
    <row r="157" spans="1:7" x14ac:dyDescent="0.35">
      <c r="A157" s="1" t="s">
        <v>1836</v>
      </c>
      <c r="E157" s="4">
        <f>SUM($F$9:G156)+0.1</f>
        <v>635.1</v>
      </c>
      <c r="F157" s="4"/>
    </row>
    <row r="158" spans="1:7" x14ac:dyDescent="0.35">
      <c r="A158" s="1" t="s">
        <v>286</v>
      </c>
      <c r="B158">
        <v>30</v>
      </c>
      <c r="C158">
        <v>1</v>
      </c>
      <c r="E158" s="4">
        <f>SUM($F$9:G157)+0.1</f>
        <v>635.1</v>
      </c>
      <c r="F158" s="4"/>
    </row>
    <row r="159" spans="1:7" x14ac:dyDescent="0.35">
      <c r="A159" s="13" t="s">
        <v>64</v>
      </c>
      <c r="B159">
        <v>60</v>
      </c>
      <c r="C159" t="s">
        <v>901</v>
      </c>
      <c r="E159" s="4">
        <f>SUM($F$9:G158)+0.1</f>
        <v>635.1</v>
      </c>
      <c r="F159" s="4"/>
    </row>
    <row r="160" spans="1:7" x14ac:dyDescent="0.35">
      <c r="A160" s="1" t="s">
        <v>689</v>
      </c>
      <c r="B160">
        <v>60</v>
      </c>
      <c r="C160" t="s">
        <v>901</v>
      </c>
      <c r="E160" s="4">
        <f>SUM($F$9:G159)+0.1</f>
        <v>635.1</v>
      </c>
      <c r="F160" s="4">
        <v>5</v>
      </c>
    </row>
    <row r="161" spans="1:6" x14ac:dyDescent="0.35">
      <c r="A161" s="1" t="s">
        <v>1850</v>
      </c>
      <c r="E161" s="4">
        <f>SUM($F$9:G160)+0.1</f>
        <v>640.1</v>
      </c>
      <c r="F161" s="4"/>
    </row>
    <row r="162" spans="1:6" x14ac:dyDescent="0.35">
      <c r="A162" s="1" t="s">
        <v>287</v>
      </c>
      <c r="B162">
        <v>60</v>
      </c>
      <c r="C162">
        <v>1</v>
      </c>
      <c r="E162" s="4">
        <f>SUM($F$9:G161)+0.1</f>
        <v>640.1</v>
      </c>
      <c r="F162" s="4"/>
    </row>
    <row r="163" spans="1:6" x14ac:dyDescent="0.35">
      <c r="A163" s="1" t="s">
        <v>781</v>
      </c>
      <c r="B163">
        <v>30</v>
      </c>
      <c r="C163" t="s">
        <v>900</v>
      </c>
      <c r="E163" s="4">
        <f>SUM($F$9:G162)+0.1</f>
        <v>640.1</v>
      </c>
      <c r="F163" s="4"/>
    </row>
    <row r="164" spans="1:6" x14ac:dyDescent="0.35">
      <c r="A164" s="1" t="s">
        <v>292</v>
      </c>
      <c r="B164">
        <v>60</v>
      </c>
      <c r="C164" t="s">
        <v>901</v>
      </c>
      <c r="E164" s="4">
        <f>SUM($F$9:G163)+0.1</f>
        <v>640.1</v>
      </c>
      <c r="F164" s="4">
        <v>25</v>
      </c>
    </row>
    <row r="165" spans="1:6" x14ac:dyDescent="0.35">
      <c r="A165" s="13" t="s">
        <v>691</v>
      </c>
      <c r="B165">
        <v>60</v>
      </c>
      <c r="C165" t="s">
        <v>901</v>
      </c>
      <c r="E165" s="4">
        <f>SUM($F$9:G164)+0.1</f>
        <v>665.1</v>
      </c>
      <c r="F165" s="4"/>
    </row>
    <row r="166" spans="1:6" x14ac:dyDescent="0.35">
      <c r="A166" s="1" t="s">
        <v>1856</v>
      </c>
      <c r="E166" s="4">
        <f>SUM($F$9:G165)+0.1</f>
        <v>665.1</v>
      </c>
      <c r="F166" s="4">
        <v>20</v>
      </c>
    </row>
    <row r="167" spans="1:6" x14ac:dyDescent="0.35">
      <c r="A167" s="1" t="s">
        <v>295</v>
      </c>
      <c r="B167">
        <v>60</v>
      </c>
      <c r="C167" t="s">
        <v>900</v>
      </c>
      <c r="E167" s="4">
        <f>SUM($F$9:G166)+0.1</f>
        <v>685.1</v>
      </c>
      <c r="F167" s="4"/>
    </row>
    <row r="168" spans="1:6" x14ac:dyDescent="0.35">
      <c r="A168" s="1" t="s">
        <v>887</v>
      </c>
      <c r="B168">
        <v>30</v>
      </c>
      <c r="C168" t="s">
        <v>903</v>
      </c>
      <c r="E168" s="4">
        <f>SUM($F$9:G167)+0.1</f>
        <v>685.1</v>
      </c>
      <c r="F168" s="4"/>
    </row>
    <row r="169" spans="1:6" x14ac:dyDescent="0.35">
      <c r="A169" s="1" t="s">
        <v>692</v>
      </c>
      <c r="B169">
        <v>60</v>
      </c>
      <c r="C169">
        <v>1</v>
      </c>
      <c r="E169" s="4">
        <f>SUM($F$9:G168)+0.1</f>
        <v>685.1</v>
      </c>
      <c r="F169" s="4"/>
    </row>
    <row r="170" spans="1:6" x14ac:dyDescent="0.35">
      <c r="A170" s="1" t="s">
        <v>782</v>
      </c>
      <c r="B170">
        <v>60</v>
      </c>
      <c r="C170" t="s">
        <v>900</v>
      </c>
      <c r="E170" s="4">
        <f>SUM($F$9:G169)+0.1</f>
        <v>685.1</v>
      </c>
      <c r="F170" s="4"/>
    </row>
    <row r="171" spans="1:6" x14ac:dyDescent="0.35">
      <c r="A171" s="1" t="s">
        <v>618</v>
      </c>
      <c r="B171">
        <v>60</v>
      </c>
      <c r="C171" t="s">
        <v>900</v>
      </c>
      <c r="E171" s="4">
        <f>SUM($F$9:G170)+0.1</f>
        <v>685.1</v>
      </c>
      <c r="F171" s="4"/>
    </row>
    <row r="172" spans="1:6" x14ac:dyDescent="0.35">
      <c r="A172" s="1" t="s">
        <v>736</v>
      </c>
      <c r="B172">
        <v>30</v>
      </c>
      <c r="C172" t="s">
        <v>900</v>
      </c>
      <c r="E172" s="4">
        <f>SUM($F$9:G171)+0.1</f>
        <v>685.1</v>
      </c>
      <c r="F172" s="4"/>
    </row>
    <row r="173" spans="1:6" x14ac:dyDescent="0.35">
      <c r="A173" s="1" t="s">
        <v>693</v>
      </c>
      <c r="B173">
        <v>30</v>
      </c>
      <c r="C173" t="s">
        <v>903</v>
      </c>
      <c r="E173" s="4">
        <f>SUM($F$9:G172)+0.1</f>
        <v>685.1</v>
      </c>
      <c r="F173" s="4"/>
    </row>
    <row r="174" spans="1:6" x14ac:dyDescent="0.35">
      <c r="A174" s="1" t="s">
        <v>850</v>
      </c>
      <c r="B174">
        <v>60</v>
      </c>
      <c r="C174" t="s">
        <v>900</v>
      </c>
      <c r="E174" s="4">
        <f>SUM($F$9:G173)+0.1</f>
        <v>685.1</v>
      </c>
      <c r="F174" s="4"/>
    </row>
    <row r="175" spans="1:6" x14ac:dyDescent="0.35">
      <c r="A175" s="1" t="s">
        <v>338</v>
      </c>
      <c r="B175">
        <v>60</v>
      </c>
      <c r="C175" t="s">
        <v>900</v>
      </c>
      <c r="E175" s="4">
        <f>SUM($F$9:G174)+0.1</f>
        <v>685.1</v>
      </c>
      <c r="F175" s="4">
        <v>5</v>
      </c>
    </row>
    <row r="176" spans="1:6" x14ac:dyDescent="0.35">
      <c r="A176" s="1" t="s">
        <v>70</v>
      </c>
      <c r="B176">
        <v>60</v>
      </c>
      <c r="C176" t="s">
        <v>901</v>
      </c>
      <c r="E176" s="4">
        <f>SUM($F$9:G175)+0.1</f>
        <v>690.1</v>
      </c>
      <c r="F176" s="4"/>
    </row>
    <row r="177" spans="1:6" x14ac:dyDescent="0.35">
      <c r="A177" s="1" t="s">
        <v>296</v>
      </c>
      <c r="B177">
        <v>30</v>
      </c>
      <c r="C177" t="s">
        <v>903</v>
      </c>
      <c r="E177" s="4">
        <f>SUM($F$9:G176)+0.1</f>
        <v>690.1</v>
      </c>
      <c r="F177" s="4"/>
    </row>
    <row r="178" spans="1:6" x14ac:dyDescent="0.35">
      <c r="A178" s="1" t="s">
        <v>297</v>
      </c>
      <c r="B178">
        <v>60</v>
      </c>
      <c r="C178" t="s">
        <v>900</v>
      </c>
      <c r="E178" s="4">
        <f>SUM($F$9:G177)+0.1</f>
        <v>690.1</v>
      </c>
      <c r="F178" s="4"/>
    </row>
    <row r="179" spans="1:6" x14ac:dyDescent="0.35">
      <c r="A179" s="1" t="s">
        <v>510</v>
      </c>
      <c r="B179">
        <v>60</v>
      </c>
      <c r="C179" t="s">
        <v>901</v>
      </c>
      <c r="E179" s="4">
        <f>SUM($F$9:G178)+0.1</f>
        <v>690.1</v>
      </c>
      <c r="F179" s="4"/>
    </row>
    <row r="180" spans="1:6" x14ac:dyDescent="0.35">
      <c r="A180" s="1" t="s">
        <v>738</v>
      </c>
      <c r="B180">
        <v>60</v>
      </c>
      <c r="C180" t="s">
        <v>900</v>
      </c>
      <c r="E180" s="4">
        <f>SUM($F$9:G179)+0.1</f>
        <v>690.1</v>
      </c>
      <c r="F180" s="4"/>
    </row>
    <row r="181" spans="1:6" x14ac:dyDescent="0.35">
      <c r="A181" s="1" t="s">
        <v>160</v>
      </c>
      <c r="B181">
        <v>60</v>
      </c>
      <c r="C181" t="s">
        <v>901</v>
      </c>
      <c r="E181" s="4">
        <f>SUM($F$9:G180)+0.1</f>
        <v>690.1</v>
      </c>
      <c r="F181" s="4"/>
    </row>
    <row r="182" spans="1:6" x14ac:dyDescent="0.35">
      <c r="A182" s="1" t="s">
        <v>739</v>
      </c>
      <c r="B182">
        <v>60</v>
      </c>
      <c r="C182" t="s">
        <v>900</v>
      </c>
      <c r="E182" s="4">
        <f>SUM($F$9:G181)+0.1</f>
        <v>690.1</v>
      </c>
      <c r="F182" s="4"/>
    </row>
    <row r="183" spans="1:6" x14ac:dyDescent="0.35">
      <c r="A183" s="1" t="s">
        <v>783</v>
      </c>
      <c r="B183">
        <v>60</v>
      </c>
      <c r="C183" t="s">
        <v>900</v>
      </c>
      <c r="E183" s="4">
        <f>SUM($F$9:G182)+0.1</f>
        <v>690.1</v>
      </c>
      <c r="F183" s="4"/>
    </row>
    <row r="184" spans="1:6" x14ac:dyDescent="0.35">
      <c r="A184" s="1" t="s">
        <v>301</v>
      </c>
      <c r="B184">
        <v>60</v>
      </c>
      <c r="C184" t="s">
        <v>900</v>
      </c>
      <c r="E184" s="4">
        <f>SUM($F$9:G183)+0.1</f>
        <v>690.1</v>
      </c>
      <c r="F184" s="4"/>
    </row>
    <row r="185" spans="1:6" x14ac:dyDescent="0.35">
      <c r="A185" s="1" t="s">
        <v>302</v>
      </c>
      <c r="B185">
        <v>60</v>
      </c>
      <c r="C185" t="s">
        <v>900</v>
      </c>
      <c r="E185" s="4">
        <f>SUM($F$9:G184)+0.1</f>
        <v>690.1</v>
      </c>
      <c r="F185" s="4"/>
    </row>
    <row r="186" spans="1:6" x14ac:dyDescent="0.35">
      <c r="A186" s="1" t="s">
        <v>403</v>
      </c>
      <c r="B186">
        <v>60</v>
      </c>
      <c r="C186" t="s">
        <v>900</v>
      </c>
      <c r="E186" s="4">
        <f>SUM($F$9:G185)+0.1</f>
        <v>690.1</v>
      </c>
      <c r="F186" s="4"/>
    </row>
    <row r="187" spans="1:6" x14ac:dyDescent="0.35">
      <c r="A187" s="1" t="s">
        <v>834</v>
      </c>
      <c r="B187">
        <v>60</v>
      </c>
      <c r="C187">
        <v>1</v>
      </c>
      <c r="E187" s="4">
        <f>SUM($F$9:G186)+0.1</f>
        <v>690.1</v>
      </c>
      <c r="F187" s="4"/>
    </row>
    <row r="188" spans="1:6" x14ac:dyDescent="0.35">
      <c r="A188" s="1" t="s">
        <v>741</v>
      </c>
      <c r="B188">
        <v>60</v>
      </c>
      <c r="C188" t="s">
        <v>900</v>
      </c>
      <c r="E188" s="4">
        <f>SUM($F$9:G187)+0.1</f>
        <v>690.1</v>
      </c>
      <c r="F188" s="4"/>
    </row>
    <row r="189" spans="1:6" x14ac:dyDescent="0.35">
      <c r="A189" s="1" t="s">
        <v>695</v>
      </c>
      <c r="B189">
        <v>60</v>
      </c>
      <c r="C189" t="s">
        <v>900</v>
      </c>
      <c r="E189" s="4">
        <f>SUM($F$9:G188)+0.1</f>
        <v>690.1</v>
      </c>
      <c r="F189" s="4"/>
    </row>
    <row r="190" spans="1:6" x14ac:dyDescent="0.35">
      <c r="A190" s="1" t="s">
        <v>805</v>
      </c>
      <c r="B190">
        <v>60</v>
      </c>
      <c r="C190" t="s">
        <v>901</v>
      </c>
      <c r="E190" s="4">
        <f>SUM($F$9:G189)+0.1</f>
        <v>690.1</v>
      </c>
      <c r="F190" s="4">
        <v>10</v>
      </c>
    </row>
    <row r="191" spans="1:6" x14ac:dyDescent="0.35">
      <c r="A191" s="1" t="s">
        <v>696</v>
      </c>
      <c r="B191">
        <v>60</v>
      </c>
      <c r="C191" t="s">
        <v>900</v>
      </c>
      <c r="E191" s="4">
        <f>SUM($F$9:G190)+0.1</f>
        <v>700.1</v>
      </c>
      <c r="F191" s="4"/>
    </row>
    <row r="192" spans="1:6" x14ac:dyDescent="0.35">
      <c r="A192" s="1" t="s">
        <v>303</v>
      </c>
      <c r="B192">
        <v>60</v>
      </c>
      <c r="C192" t="s">
        <v>900</v>
      </c>
      <c r="E192" s="4">
        <f>SUM($F$9:G191)+0.1</f>
        <v>700.1</v>
      </c>
      <c r="F192" s="4"/>
    </row>
    <row r="193" spans="1:6" x14ac:dyDescent="0.35">
      <c r="A193" s="1" t="s">
        <v>304</v>
      </c>
      <c r="B193">
        <v>60</v>
      </c>
      <c r="C193" t="s">
        <v>900</v>
      </c>
      <c r="E193" s="4">
        <f>SUM($F$9:G192)+0.1</f>
        <v>700.1</v>
      </c>
      <c r="F193" s="4"/>
    </row>
    <row r="194" spans="1:6" x14ac:dyDescent="0.35">
      <c r="A194" s="1" t="s">
        <v>806</v>
      </c>
      <c r="B194">
        <v>30</v>
      </c>
      <c r="C194" t="s">
        <v>903</v>
      </c>
      <c r="E194" s="4">
        <f>SUM($F$9:G193)+0.1</f>
        <v>700.1</v>
      </c>
      <c r="F194" s="4"/>
    </row>
    <row r="195" spans="1:6" x14ac:dyDescent="0.35">
      <c r="A195" s="1" t="s">
        <v>568</v>
      </c>
      <c r="B195">
        <v>60</v>
      </c>
      <c r="C195" t="s">
        <v>901</v>
      </c>
      <c r="E195" s="4">
        <f>SUM($F$9:G194)+0.1</f>
        <v>700.1</v>
      </c>
      <c r="F195" s="4"/>
    </row>
    <row r="196" spans="1:6" x14ac:dyDescent="0.35">
      <c r="A196" s="1" t="s">
        <v>619</v>
      </c>
      <c r="B196">
        <v>30</v>
      </c>
      <c r="C196" t="s">
        <v>903</v>
      </c>
      <c r="E196" s="4">
        <f>SUM($F$9:G195)+0.1</f>
        <v>700.1</v>
      </c>
      <c r="F196" s="4"/>
    </row>
    <row r="197" spans="1:6" x14ac:dyDescent="0.35">
      <c r="A197" s="1" t="s">
        <v>620</v>
      </c>
      <c r="B197">
        <v>60</v>
      </c>
      <c r="C197" t="s">
        <v>900</v>
      </c>
      <c r="E197" s="4">
        <f>SUM($F$9:G196)+0.1</f>
        <v>700.1</v>
      </c>
      <c r="F197" s="4"/>
    </row>
    <row r="198" spans="1:6" x14ac:dyDescent="0.35">
      <c r="A198" s="13" t="s">
        <v>313</v>
      </c>
      <c r="B198">
        <v>60</v>
      </c>
      <c r="C198" t="s">
        <v>901</v>
      </c>
      <c r="E198" s="4">
        <f>SUM($F$9:G197)+0.1</f>
        <v>700.1</v>
      </c>
      <c r="F198" s="4"/>
    </row>
    <row r="199" spans="1:6" x14ac:dyDescent="0.35">
      <c r="A199" s="1" t="s">
        <v>865</v>
      </c>
      <c r="B199">
        <v>60</v>
      </c>
      <c r="C199">
        <v>1</v>
      </c>
      <c r="E199" s="4">
        <f>SUM($F$9:G198)+0.1</f>
        <v>700.1</v>
      </c>
      <c r="F199" s="4"/>
    </row>
    <row r="200" spans="1:6" x14ac:dyDescent="0.35">
      <c r="A200" s="1" t="s">
        <v>698</v>
      </c>
      <c r="B200">
        <v>60</v>
      </c>
      <c r="C200" t="s">
        <v>901</v>
      </c>
      <c r="E200" s="4">
        <f>SUM($F$9:G199)+0.1</f>
        <v>700.1</v>
      </c>
      <c r="F200" s="4"/>
    </row>
    <row r="201" spans="1:6" x14ac:dyDescent="0.35">
      <c r="A201" s="1" t="s">
        <v>1878</v>
      </c>
      <c r="E201" s="4">
        <f>SUM($F$9:G200)+0.1</f>
        <v>700.1</v>
      </c>
      <c r="F201" s="4"/>
    </row>
    <row r="202" spans="1:6" x14ac:dyDescent="0.35">
      <c r="A202" s="1" t="s">
        <v>316</v>
      </c>
      <c r="B202">
        <v>30</v>
      </c>
      <c r="C202" t="s">
        <v>903</v>
      </c>
      <c r="E202" s="4">
        <f>SUM($F$9:G201)+0.1</f>
        <v>700.1</v>
      </c>
      <c r="F202" s="4"/>
    </row>
    <row r="203" spans="1:6" x14ac:dyDescent="0.35">
      <c r="A203" s="1" t="s">
        <v>621</v>
      </c>
      <c r="B203">
        <v>60</v>
      </c>
      <c r="C203" t="s">
        <v>900</v>
      </c>
      <c r="E203" s="4">
        <f>SUM($F$9:G202)+0.1</f>
        <v>700.1</v>
      </c>
      <c r="F203" s="4"/>
    </row>
    <row r="204" spans="1:6" x14ac:dyDescent="0.35">
      <c r="A204" s="1" t="s">
        <v>526</v>
      </c>
      <c r="B204">
        <v>30</v>
      </c>
      <c r="C204">
        <v>1</v>
      </c>
      <c r="E204" s="4">
        <f>SUM($F$9:G203)+0.1</f>
        <v>700.1</v>
      </c>
      <c r="F204" s="4"/>
    </row>
    <row r="205" spans="1:6" x14ac:dyDescent="0.35">
      <c r="A205" s="1" t="s">
        <v>320</v>
      </c>
      <c r="B205">
        <v>60</v>
      </c>
      <c r="C205" t="s">
        <v>900</v>
      </c>
      <c r="E205" s="4">
        <f>SUM($F$9:G204)+0.1</f>
        <v>700.1</v>
      </c>
      <c r="F205" s="4"/>
    </row>
    <row r="206" spans="1:6" x14ac:dyDescent="0.35">
      <c r="A206" s="1" t="s">
        <v>321</v>
      </c>
      <c r="B206">
        <v>60</v>
      </c>
      <c r="C206" t="s">
        <v>901</v>
      </c>
      <c r="E206" s="4">
        <f>SUM($F$9:G205)+0.1</f>
        <v>700.1</v>
      </c>
      <c r="F206" s="4"/>
    </row>
    <row r="207" spans="1:6" x14ac:dyDescent="0.35">
      <c r="A207" s="1" t="s">
        <v>322</v>
      </c>
      <c r="B207">
        <v>60</v>
      </c>
      <c r="C207" t="s">
        <v>900</v>
      </c>
      <c r="E207" s="4">
        <f>SUM($F$9:G206)+0.1</f>
        <v>700.1</v>
      </c>
      <c r="F207" s="4">
        <v>15</v>
      </c>
    </row>
    <row r="208" spans="1:6" x14ac:dyDescent="0.35">
      <c r="A208" s="1" t="s">
        <v>808</v>
      </c>
      <c r="B208">
        <v>60</v>
      </c>
      <c r="C208" t="s">
        <v>901</v>
      </c>
      <c r="E208" s="4">
        <f>SUM($F$9:G207)+0.1</f>
        <v>715.1</v>
      </c>
      <c r="F208" s="4"/>
    </row>
    <row r="209" spans="1:6" x14ac:dyDescent="0.35">
      <c r="A209" s="1" t="s">
        <v>911</v>
      </c>
      <c r="B209">
        <v>60</v>
      </c>
      <c r="C209" t="s">
        <v>903</v>
      </c>
      <c r="E209" s="4">
        <f>SUM($F$9:G208)+0.1</f>
        <v>715.1</v>
      </c>
      <c r="F209" s="4"/>
    </row>
    <row r="210" spans="1:6" x14ac:dyDescent="0.35">
      <c r="A210" s="1" t="s">
        <v>323</v>
      </c>
      <c r="B210">
        <v>30</v>
      </c>
      <c r="C210" t="s">
        <v>901</v>
      </c>
      <c r="E210" s="4">
        <f>SUM($F$9:G209)+0.1</f>
        <v>715.1</v>
      </c>
      <c r="F210" s="4"/>
    </row>
    <row r="211" spans="1:6" x14ac:dyDescent="0.35">
      <c r="A211" s="1" t="s">
        <v>78</v>
      </c>
      <c r="B211">
        <v>60</v>
      </c>
      <c r="C211" t="s">
        <v>901</v>
      </c>
      <c r="E211" s="4">
        <f>SUM($F$9:G210)+0.1</f>
        <v>715.1</v>
      </c>
      <c r="F211" s="4">
        <v>25</v>
      </c>
    </row>
    <row r="212" spans="1:6" x14ac:dyDescent="0.35">
      <c r="A212" s="1" t="s">
        <v>789</v>
      </c>
      <c r="B212">
        <v>30</v>
      </c>
      <c r="C212" t="s">
        <v>903</v>
      </c>
      <c r="E212" s="4">
        <f>SUM($F$9:G211)+0.1</f>
        <v>740.1</v>
      </c>
      <c r="F212" s="4"/>
    </row>
    <row r="213" spans="1:6" x14ac:dyDescent="0.35">
      <c r="A213" s="1" t="s">
        <v>809</v>
      </c>
      <c r="B213">
        <v>60</v>
      </c>
      <c r="C213" t="s">
        <v>901</v>
      </c>
      <c r="E213" s="4">
        <f>SUM($F$9:G212)+0.1</f>
        <v>740.1</v>
      </c>
      <c r="F213" s="4"/>
    </row>
    <row r="214" spans="1:6" x14ac:dyDescent="0.35">
      <c r="A214" s="1" t="s">
        <v>699</v>
      </c>
      <c r="B214">
        <v>60</v>
      </c>
      <c r="C214" t="s">
        <v>900</v>
      </c>
      <c r="E214" s="4">
        <f>SUM($F$9:G213)+0.1</f>
        <v>740.1</v>
      </c>
      <c r="F214" s="4"/>
    </row>
    <row r="215" spans="1:6" x14ac:dyDescent="0.35">
      <c r="A215" s="1" t="s">
        <v>328</v>
      </c>
      <c r="B215">
        <v>60</v>
      </c>
      <c r="C215" t="s">
        <v>903</v>
      </c>
      <c r="E215" s="4">
        <f>SUM($F$9:G214)+0.1</f>
        <v>740.1</v>
      </c>
      <c r="F215" s="4"/>
    </row>
    <row r="216" spans="1:6" x14ac:dyDescent="0.35">
      <c r="A216" s="1" t="s">
        <v>1873</v>
      </c>
      <c r="E216" s="4">
        <f>SUM($F$9:G215)+0.1</f>
        <v>740.1</v>
      </c>
      <c r="F216" s="4"/>
    </row>
    <row r="217" spans="1:6" x14ac:dyDescent="0.35">
      <c r="A217" s="1" t="s">
        <v>889</v>
      </c>
      <c r="B217">
        <v>30</v>
      </c>
      <c r="C217" t="s">
        <v>903</v>
      </c>
      <c r="E217" s="4">
        <f>SUM($F$9:G216)+0.1</f>
        <v>740.1</v>
      </c>
      <c r="F217" s="4"/>
    </row>
    <row r="218" spans="1:6" x14ac:dyDescent="0.35">
      <c r="A218" s="1" t="s">
        <v>330</v>
      </c>
      <c r="B218">
        <v>60</v>
      </c>
      <c r="C218" t="s">
        <v>900</v>
      </c>
      <c r="E218" s="4">
        <f>SUM($F$9:G217)+0.1</f>
        <v>740.1</v>
      </c>
      <c r="F218" s="4"/>
    </row>
    <row r="219" spans="1:6" x14ac:dyDescent="0.35">
      <c r="A219" s="1" t="s">
        <v>83</v>
      </c>
      <c r="B219">
        <v>60</v>
      </c>
      <c r="C219" t="s">
        <v>900</v>
      </c>
      <c r="E219" s="4">
        <f>SUM($F$9:G218)+0.1</f>
        <v>740.1</v>
      </c>
      <c r="F219" s="4"/>
    </row>
    <row r="220" spans="1:6" x14ac:dyDescent="0.35">
      <c r="A220" s="1" t="s">
        <v>331</v>
      </c>
      <c r="B220">
        <v>60</v>
      </c>
      <c r="C220">
        <v>1</v>
      </c>
      <c r="E220" s="4">
        <f>SUM($F$9:G219)+0.1</f>
        <v>740.1</v>
      </c>
      <c r="F220" s="4"/>
    </row>
    <row r="221" spans="1:6" x14ac:dyDescent="0.35">
      <c r="A221" s="1" t="s">
        <v>810</v>
      </c>
      <c r="B221">
        <v>60</v>
      </c>
      <c r="C221" t="s">
        <v>900</v>
      </c>
      <c r="E221" s="4">
        <f>SUM($F$9:G220)+0.1</f>
        <v>740.1</v>
      </c>
      <c r="F221" s="4"/>
    </row>
    <row r="222" spans="1:6" x14ac:dyDescent="0.35">
      <c r="A222" s="1" t="s">
        <v>332</v>
      </c>
      <c r="B222">
        <v>60</v>
      </c>
      <c r="C222" t="s">
        <v>901</v>
      </c>
      <c r="E222" s="4">
        <f>SUM($F$9:G221)+0.1</f>
        <v>740.1</v>
      </c>
      <c r="F222" s="4"/>
    </row>
    <row r="223" spans="1:6" x14ac:dyDescent="0.35">
      <c r="A223" s="1" t="s">
        <v>702</v>
      </c>
      <c r="B223">
        <v>30</v>
      </c>
      <c r="C223" t="s">
        <v>903</v>
      </c>
      <c r="E223" s="4">
        <f>SUM($F$9:G222)+0.1</f>
        <v>740.1</v>
      </c>
      <c r="F223" s="4">
        <v>10</v>
      </c>
    </row>
    <row r="224" spans="1:6" x14ac:dyDescent="0.35">
      <c r="A224" s="1" t="s">
        <v>1903</v>
      </c>
      <c r="E224" s="4">
        <f>SUM($F$9:G223)+0.1</f>
        <v>750.1</v>
      </c>
      <c r="F224" s="4"/>
    </row>
    <row r="225" spans="1:6" x14ac:dyDescent="0.35">
      <c r="A225" s="1" t="s">
        <v>335</v>
      </c>
      <c r="B225">
        <v>60</v>
      </c>
      <c r="C225" t="s">
        <v>900</v>
      </c>
      <c r="E225" s="4">
        <f>SUM($F$9:G224)+0.1</f>
        <v>750.1</v>
      </c>
      <c r="F225" s="4"/>
    </row>
    <row r="226" spans="1:6" x14ac:dyDescent="0.35">
      <c r="A226" s="1" t="s">
        <v>336</v>
      </c>
      <c r="B226">
        <v>30</v>
      </c>
      <c r="C226" t="s">
        <v>903</v>
      </c>
      <c r="E226" s="4">
        <f>SUM($F$9:G225)+0.1</f>
        <v>750.1</v>
      </c>
      <c r="F226" s="4"/>
    </row>
    <row r="227" spans="1:6" x14ac:dyDescent="0.35">
      <c r="A227" s="1" t="s">
        <v>703</v>
      </c>
      <c r="B227">
        <v>60</v>
      </c>
      <c r="C227" t="s">
        <v>901</v>
      </c>
      <c r="E227" s="4">
        <f>SUM($F$9:G226)+0.1</f>
        <v>750.1</v>
      </c>
      <c r="F227" s="4"/>
    </row>
    <row r="228" spans="1:6" x14ac:dyDescent="0.35">
      <c r="A228" s="1" t="s">
        <v>410</v>
      </c>
      <c r="B228">
        <v>60</v>
      </c>
      <c r="C228" t="s">
        <v>900</v>
      </c>
      <c r="E228" s="4">
        <f>SUM($F$9:G227)+0.1</f>
        <v>750.1</v>
      </c>
      <c r="F228" s="4"/>
    </row>
    <row r="229" spans="1:6" x14ac:dyDescent="0.35">
      <c r="A229" s="1" t="s">
        <v>409</v>
      </c>
      <c r="B229">
        <v>60</v>
      </c>
      <c r="C229" t="s">
        <v>900</v>
      </c>
      <c r="E229" s="4">
        <f>SUM($F$9:G228)+0.1</f>
        <v>750.1</v>
      </c>
      <c r="F229" s="4"/>
    </row>
    <row r="230" spans="1:6" x14ac:dyDescent="0.35">
      <c r="A230" s="1" t="s">
        <v>1891</v>
      </c>
      <c r="E230" s="4">
        <f>SUM($F$9:G229)+0.1</f>
        <v>750.1</v>
      </c>
      <c r="F230" s="4"/>
    </row>
    <row r="231" spans="1:6" x14ac:dyDescent="0.35">
      <c r="A231" s="1" t="s">
        <v>704</v>
      </c>
      <c r="B231">
        <v>30</v>
      </c>
      <c r="C231" t="s">
        <v>903</v>
      </c>
      <c r="E231" s="4">
        <f>SUM($F$9:G230)+0.1</f>
        <v>750.1</v>
      </c>
      <c r="F231" s="4">
        <v>5</v>
      </c>
    </row>
    <row r="232" spans="1:6" x14ac:dyDescent="0.35">
      <c r="A232" s="1" t="s">
        <v>527</v>
      </c>
      <c r="B232">
        <v>60</v>
      </c>
      <c r="C232" t="s">
        <v>901</v>
      </c>
      <c r="E232" s="4">
        <f>SUM($F$9:G231)+0.1</f>
        <v>755.1</v>
      </c>
      <c r="F232" s="4"/>
    </row>
    <row r="233" spans="1:6" x14ac:dyDescent="0.35">
      <c r="A233" s="1" t="s">
        <v>857</v>
      </c>
      <c r="B233">
        <v>60</v>
      </c>
      <c r="C233" t="s">
        <v>901</v>
      </c>
      <c r="E233" s="4">
        <f>SUM($F$9:G232)+0.1</f>
        <v>755.1</v>
      </c>
      <c r="F233" s="4"/>
    </row>
    <row r="234" spans="1:6" x14ac:dyDescent="0.35">
      <c r="A234" s="1" t="s">
        <v>337</v>
      </c>
      <c r="B234">
        <v>60</v>
      </c>
      <c r="C234" t="s">
        <v>900</v>
      </c>
      <c r="E234" s="4">
        <f>SUM($F$9:G233)+0.1</f>
        <v>755.1</v>
      </c>
      <c r="F234" s="4"/>
    </row>
    <row r="235" spans="1:6" x14ac:dyDescent="0.35">
      <c r="A235" s="1" t="s">
        <v>626</v>
      </c>
      <c r="B235">
        <v>60</v>
      </c>
      <c r="C235" t="s">
        <v>900</v>
      </c>
      <c r="E235" s="4">
        <f>SUM($F$9:G234)+0.1</f>
        <v>755.1</v>
      </c>
      <c r="F235" s="4"/>
    </row>
    <row r="236" spans="1:6" x14ac:dyDescent="0.35">
      <c r="A236" s="1" t="s">
        <v>744</v>
      </c>
      <c r="B236">
        <v>60</v>
      </c>
      <c r="C236" t="s">
        <v>901</v>
      </c>
      <c r="E236" s="4">
        <f>SUM($F$9:G235)+0.1</f>
        <v>755.1</v>
      </c>
      <c r="F236" s="4"/>
    </row>
    <row r="237" spans="1:6" x14ac:dyDescent="0.35">
      <c r="A237" s="1" t="s">
        <v>341</v>
      </c>
      <c r="B237">
        <v>60</v>
      </c>
      <c r="C237" t="s">
        <v>900</v>
      </c>
      <c r="E237" s="4">
        <f>SUM($F$9:G236)+0.1</f>
        <v>755.1</v>
      </c>
      <c r="F237" s="4"/>
    </row>
    <row r="238" spans="1:6" x14ac:dyDescent="0.35">
      <c r="A238" s="13" t="s">
        <v>89</v>
      </c>
      <c r="B238">
        <v>30</v>
      </c>
      <c r="C238" t="s">
        <v>903</v>
      </c>
      <c r="E238" s="4">
        <f>SUM($F$9:G237)+0.1</f>
        <v>755.1</v>
      </c>
      <c r="F238" s="4"/>
    </row>
    <row r="239" spans="1:6" x14ac:dyDescent="0.35">
      <c r="A239" s="1" t="s">
        <v>343</v>
      </c>
      <c r="B239">
        <v>30</v>
      </c>
      <c r="C239" t="s">
        <v>903</v>
      </c>
      <c r="E239" s="4">
        <f>SUM($F$9:G238)+0.1</f>
        <v>755.1</v>
      </c>
      <c r="F239" s="4"/>
    </row>
    <row r="240" spans="1:6" x14ac:dyDescent="0.35">
      <c r="A240" s="1" t="s">
        <v>93</v>
      </c>
      <c r="B240">
        <v>60</v>
      </c>
      <c r="C240" t="s">
        <v>901</v>
      </c>
      <c r="E240" s="4">
        <f>SUM($F$9:G239)+0.1</f>
        <v>755.1</v>
      </c>
      <c r="F240" s="4">
        <v>15</v>
      </c>
    </row>
    <row r="241" spans="1:6" x14ac:dyDescent="0.35">
      <c r="A241" s="1" t="s">
        <v>345</v>
      </c>
      <c r="B241">
        <v>60</v>
      </c>
      <c r="C241" t="s">
        <v>900</v>
      </c>
      <c r="E241" s="4">
        <f>SUM($F$9:G240)+0.1</f>
        <v>770.1</v>
      </c>
      <c r="F241" s="4"/>
    </row>
    <row r="242" spans="1:6" x14ac:dyDescent="0.35">
      <c r="A242" s="1" t="s">
        <v>346</v>
      </c>
      <c r="B242">
        <v>60</v>
      </c>
      <c r="C242" t="s">
        <v>900</v>
      </c>
      <c r="E242" s="4">
        <f>SUM($F$9:G241)+0.1</f>
        <v>770.1</v>
      </c>
      <c r="F242" s="4"/>
    </row>
    <row r="243" spans="1:6" x14ac:dyDescent="0.35">
      <c r="A243" s="1" t="s">
        <v>746</v>
      </c>
      <c r="B243">
        <v>60</v>
      </c>
      <c r="C243" t="s">
        <v>900</v>
      </c>
      <c r="E243" s="4">
        <f>SUM($F$9:G242)+0.1</f>
        <v>770.1</v>
      </c>
      <c r="F243" s="4"/>
    </row>
    <row r="244" spans="1:6" x14ac:dyDescent="0.35">
      <c r="A244" s="1" t="s">
        <v>347</v>
      </c>
      <c r="B244">
        <v>30</v>
      </c>
      <c r="C244" t="s">
        <v>903</v>
      </c>
      <c r="E244" s="4">
        <f>SUM($F$9:G243)+0.1</f>
        <v>770.1</v>
      </c>
      <c r="F244" s="4"/>
    </row>
    <row r="245" spans="1:6" x14ac:dyDescent="0.35">
      <c r="A245" s="1" t="s">
        <v>1851</v>
      </c>
      <c r="E245" s="4">
        <f>SUM($F$9:G244)+0.1</f>
        <v>770.1</v>
      </c>
      <c r="F245" s="4"/>
    </row>
    <row r="246" spans="1:6" x14ac:dyDescent="0.35">
      <c r="A246" s="1" t="s">
        <v>890</v>
      </c>
      <c r="B246">
        <v>60</v>
      </c>
      <c r="C246" t="s">
        <v>901</v>
      </c>
      <c r="D246" t="s">
        <v>912</v>
      </c>
      <c r="E246" s="4">
        <f>SUM($F$9:G245)+0.1</f>
        <v>770.1</v>
      </c>
      <c r="F246" s="4"/>
    </row>
    <row r="247" spans="1:6" x14ac:dyDescent="0.35">
      <c r="A247" s="1" t="s">
        <v>209</v>
      </c>
      <c r="B247">
        <v>30</v>
      </c>
      <c r="C247" t="s">
        <v>901</v>
      </c>
      <c r="E247" s="4">
        <f>SUM($F$9:G246)+0.1</f>
        <v>770.1</v>
      </c>
      <c r="F247" s="4"/>
    </row>
    <row r="248" spans="1:6" x14ac:dyDescent="0.35">
      <c r="A248" s="1" t="s">
        <v>1852</v>
      </c>
      <c r="E248" s="4">
        <f>SUM($F$9:G247)+0.1</f>
        <v>770.1</v>
      </c>
      <c r="F248" s="4"/>
    </row>
    <row r="249" spans="1:6" x14ac:dyDescent="0.35">
      <c r="A249" s="1" t="s">
        <v>707</v>
      </c>
      <c r="B249">
        <v>60</v>
      </c>
      <c r="C249" t="s">
        <v>901</v>
      </c>
      <c r="E249" s="4">
        <f>SUM($F$9:G248)+0.1</f>
        <v>770.1</v>
      </c>
      <c r="F249" s="4">
        <v>5</v>
      </c>
    </row>
    <row r="250" spans="1:6" x14ac:dyDescent="0.35">
      <c r="A250" s="1" t="s">
        <v>349</v>
      </c>
      <c r="B250">
        <v>60</v>
      </c>
      <c r="C250" t="s">
        <v>900</v>
      </c>
      <c r="E250" s="4">
        <f>SUM($F$9:G249)+0.1</f>
        <v>775.1</v>
      </c>
      <c r="F250" s="4"/>
    </row>
    <row r="251" spans="1:6" x14ac:dyDescent="0.35">
      <c r="A251" s="1" t="s">
        <v>350</v>
      </c>
      <c r="B251">
        <v>60</v>
      </c>
      <c r="C251" t="s">
        <v>900</v>
      </c>
      <c r="E251" s="4">
        <f>SUM($F$9:G250)+0.1</f>
        <v>775.1</v>
      </c>
      <c r="F251" s="4"/>
    </row>
    <row r="252" spans="1:6" x14ac:dyDescent="0.35">
      <c r="A252" s="1" t="s">
        <v>351</v>
      </c>
      <c r="B252">
        <v>60</v>
      </c>
      <c r="C252" t="s">
        <v>900</v>
      </c>
      <c r="E252" s="4">
        <f>SUM($F$9:G251)+0.1</f>
        <v>775.1</v>
      </c>
      <c r="F252" s="4"/>
    </row>
    <row r="253" spans="1:6" x14ac:dyDescent="0.35">
      <c r="A253" s="1" t="s">
        <v>98</v>
      </c>
      <c r="B253">
        <v>60</v>
      </c>
      <c r="C253" t="s">
        <v>901</v>
      </c>
      <c r="D253" t="s">
        <v>13</v>
      </c>
      <c r="E253" s="4">
        <f>SUM($F$9:G252)+0.1</f>
        <v>775.1</v>
      </c>
      <c r="F253" s="4"/>
    </row>
    <row r="254" spans="1:6" x14ac:dyDescent="0.35">
      <c r="A254" s="1" t="s">
        <v>353</v>
      </c>
      <c r="B254">
        <v>60</v>
      </c>
      <c r="C254" t="s">
        <v>901</v>
      </c>
      <c r="E254" s="4">
        <f>SUM($F$9:G253)+0.1</f>
        <v>775.1</v>
      </c>
      <c r="F254" s="4"/>
    </row>
    <row r="255" spans="1:6" x14ac:dyDescent="0.35">
      <c r="A255" s="1" t="s">
        <v>99</v>
      </c>
      <c r="B255">
        <v>60</v>
      </c>
      <c r="C255" t="s">
        <v>901</v>
      </c>
      <c r="E255" s="4">
        <f>SUM($F$9:G254)+0.1</f>
        <v>775.1</v>
      </c>
      <c r="F255" s="4">
        <v>15</v>
      </c>
    </row>
    <row r="256" spans="1:6" x14ac:dyDescent="0.35">
      <c r="A256" s="1" t="s">
        <v>354</v>
      </c>
      <c r="B256">
        <v>30</v>
      </c>
      <c r="C256" t="s">
        <v>903</v>
      </c>
      <c r="E256" s="4">
        <f>SUM($F$9:G255)+0.1</f>
        <v>790.1</v>
      </c>
      <c r="F256" s="4"/>
    </row>
    <row r="257" spans="1:6" x14ac:dyDescent="0.35">
      <c r="A257" s="1" t="s">
        <v>1882</v>
      </c>
      <c r="E257" s="4">
        <f>SUM($F$9:G256)+0.1</f>
        <v>790.1</v>
      </c>
      <c r="F257" s="4"/>
    </row>
    <row r="258" spans="1:6" x14ac:dyDescent="0.35">
      <c r="A258" s="1" t="s">
        <v>750</v>
      </c>
      <c r="B258">
        <v>60</v>
      </c>
      <c r="C258" t="s">
        <v>900</v>
      </c>
      <c r="E258" s="4">
        <f>SUM($F$9:G257)+0.1</f>
        <v>790.1</v>
      </c>
      <c r="F258" s="4"/>
    </row>
    <row r="259" spans="1:6" x14ac:dyDescent="0.35">
      <c r="A259" s="1" t="s">
        <v>356</v>
      </c>
      <c r="B259">
        <v>30</v>
      </c>
      <c r="C259" t="s">
        <v>900</v>
      </c>
      <c r="E259" s="4">
        <f>SUM($F$9:G258)+0.1</f>
        <v>790.1</v>
      </c>
      <c r="F259" s="4"/>
    </row>
    <row r="260" spans="1:6" x14ac:dyDescent="0.35">
      <c r="A260" s="1" t="s">
        <v>648</v>
      </c>
      <c r="B260">
        <v>60</v>
      </c>
      <c r="C260">
        <v>1</v>
      </c>
      <c r="E260" s="4">
        <f>SUM($F$9:G259)+0.1</f>
        <v>790.1</v>
      </c>
      <c r="F260" s="4">
        <v>5</v>
      </c>
    </row>
    <row r="261" spans="1:6" x14ac:dyDescent="0.35">
      <c r="A261" s="1" t="s">
        <v>414</v>
      </c>
      <c r="B261">
        <v>60</v>
      </c>
      <c r="C261" t="s">
        <v>900</v>
      </c>
      <c r="E261" s="4">
        <f>SUM($F$9:G260)+0.1</f>
        <v>795.1</v>
      </c>
      <c r="F261" s="4"/>
    </row>
    <row r="262" spans="1:6" x14ac:dyDescent="0.35">
      <c r="A262" s="1" t="s">
        <v>357</v>
      </c>
      <c r="B262">
        <v>60</v>
      </c>
      <c r="C262" t="s">
        <v>901</v>
      </c>
      <c r="E262" s="4">
        <f>SUM($F$9:G261)+0.1</f>
        <v>795.1</v>
      </c>
      <c r="F262" s="4"/>
    </row>
    <row r="263" spans="1:6" x14ac:dyDescent="0.35">
      <c r="A263" s="1" t="s">
        <v>1904</v>
      </c>
      <c r="E263" s="4">
        <f>SUM($F$9:G262)+0.1</f>
        <v>795.1</v>
      </c>
      <c r="F263" s="4">
        <v>25</v>
      </c>
    </row>
    <row r="264" spans="1:6" x14ac:dyDescent="0.35">
      <c r="A264" s="1" t="s">
        <v>102</v>
      </c>
      <c r="B264">
        <v>60</v>
      </c>
      <c r="C264" t="s">
        <v>900</v>
      </c>
      <c r="E264" s="4">
        <f>SUM($F$9:G262)+0.1</f>
        <v>795.1</v>
      </c>
      <c r="F264" s="4"/>
    </row>
    <row r="265" spans="1:6" x14ac:dyDescent="0.35">
      <c r="A265" s="1" t="s">
        <v>713</v>
      </c>
      <c r="B265">
        <v>60</v>
      </c>
      <c r="C265" t="s">
        <v>900</v>
      </c>
      <c r="E265" s="4">
        <f>SUM($F$9:G264)+0.1</f>
        <v>820.1</v>
      </c>
      <c r="F265" s="4"/>
    </row>
    <row r="266" spans="1:6" x14ac:dyDescent="0.35">
      <c r="A266" s="1" t="s">
        <v>751</v>
      </c>
      <c r="B266">
        <v>60</v>
      </c>
      <c r="C266" t="s">
        <v>901</v>
      </c>
      <c r="E266" s="4">
        <f>SUM($F$9:G265)+0.1</f>
        <v>820.1</v>
      </c>
      <c r="F266" s="4"/>
    </row>
    <row r="267" spans="1:6" x14ac:dyDescent="0.35">
      <c r="A267" s="1" t="s">
        <v>869</v>
      </c>
      <c r="B267">
        <v>60</v>
      </c>
      <c r="C267" t="s">
        <v>901</v>
      </c>
      <c r="E267" s="4">
        <f>SUM($F$9:G266)+0.1</f>
        <v>820.1</v>
      </c>
      <c r="F267" s="4"/>
    </row>
    <row r="268" spans="1:6" x14ac:dyDescent="0.35">
      <c r="A268" s="1" t="s">
        <v>416</v>
      </c>
      <c r="B268">
        <v>60</v>
      </c>
      <c r="C268" t="s">
        <v>900</v>
      </c>
      <c r="E268" s="4">
        <f>SUM($F$9:G267)+0.1</f>
        <v>820.1</v>
      </c>
      <c r="F268" s="4"/>
    </row>
    <row r="269" spans="1:6" x14ac:dyDescent="0.35">
      <c r="A269" s="1" t="s">
        <v>714</v>
      </c>
      <c r="B269">
        <v>60</v>
      </c>
      <c r="C269" t="s">
        <v>900</v>
      </c>
      <c r="E269" s="4">
        <f>SUM($F$9:G268)+0.1</f>
        <v>820.1</v>
      </c>
      <c r="F269" s="4"/>
    </row>
    <row r="270" spans="1:6" x14ac:dyDescent="0.35">
      <c r="A270" s="1" t="s">
        <v>358</v>
      </c>
      <c r="B270">
        <v>60</v>
      </c>
      <c r="C270" t="s">
        <v>901</v>
      </c>
      <c r="D270" t="s">
        <v>242</v>
      </c>
      <c r="E270" s="4">
        <f>SUM($F$9:G269)+0.1</f>
        <v>820.1</v>
      </c>
      <c r="F270" s="4"/>
    </row>
    <row r="271" spans="1:6" x14ac:dyDescent="0.35">
      <c r="A271" s="1" t="s">
        <v>417</v>
      </c>
      <c r="B271">
        <v>60</v>
      </c>
      <c r="C271" t="s">
        <v>901</v>
      </c>
      <c r="E271" s="4">
        <f>SUM($F$9:G270)+0.1</f>
        <v>820.1</v>
      </c>
      <c r="F271" s="4">
        <v>15</v>
      </c>
    </row>
    <row r="272" spans="1:6" x14ac:dyDescent="0.35">
      <c r="A272" s="1" t="s">
        <v>106</v>
      </c>
      <c r="B272">
        <v>60</v>
      </c>
      <c r="C272">
        <v>1</v>
      </c>
      <c r="E272" s="4">
        <f>SUM($F$9:G271)+0.1</f>
        <v>835.1</v>
      </c>
      <c r="F272" s="4">
        <v>5</v>
      </c>
    </row>
    <row r="273" spans="1:6" x14ac:dyDescent="0.35">
      <c r="A273" s="1" t="s">
        <v>360</v>
      </c>
      <c r="B273">
        <v>60</v>
      </c>
      <c r="C273">
        <v>1</v>
      </c>
      <c r="E273" s="4">
        <f>SUM($F$9:G272)+0.1</f>
        <v>840.1</v>
      </c>
      <c r="F273" s="4"/>
    </row>
    <row r="274" spans="1:6" x14ac:dyDescent="0.35">
      <c r="A274" s="1" t="s">
        <v>418</v>
      </c>
      <c r="B274">
        <v>60</v>
      </c>
      <c r="C274" t="s">
        <v>900</v>
      </c>
      <c r="E274" s="4">
        <f>SUM($F$9:G273)+0.1</f>
        <v>840.1</v>
      </c>
      <c r="F274" s="4"/>
    </row>
    <row r="275" spans="1:6" x14ac:dyDescent="0.35">
      <c r="A275" s="13" t="s">
        <v>752</v>
      </c>
      <c r="B275">
        <v>30</v>
      </c>
      <c r="C275" t="s">
        <v>903</v>
      </c>
      <c r="E275" s="4">
        <f>SUM($F$9:G274)+0.1</f>
        <v>840.1</v>
      </c>
      <c r="F275" s="4"/>
    </row>
    <row r="276" spans="1:6" x14ac:dyDescent="0.35">
      <c r="A276" s="1" t="s">
        <v>421</v>
      </c>
      <c r="B276">
        <v>60</v>
      </c>
      <c r="C276" t="s">
        <v>900</v>
      </c>
      <c r="E276" s="4">
        <f>SUM($F$9:G275)+0.1</f>
        <v>840.1</v>
      </c>
      <c r="F276" s="4"/>
    </row>
    <row r="277" spans="1:6" x14ac:dyDescent="0.35">
      <c r="A277" s="1" t="s">
        <v>715</v>
      </c>
      <c r="B277">
        <v>30</v>
      </c>
      <c r="C277" t="s">
        <v>903</v>
      </c>
      <c r="E277" s="4">
        <f>SUM($F$9:G276)+0.1</f>
        <v>840.1</v>
      </c>
      <c r="F277" s="4"/>
    </row>
    <row r="278" spans="1:6" x14ac:dyDescent="0.35">
      <c r="A278" s="1" t="s">
        <v>368</v>
      </c>
      <c r="B278">
        <v>60</v>
      </c>
      <c r="C278" t="s">
        <v>901</v>
      </c>
      <c r="E278" s="4">
        <f>SUM($F$9:G277)+0.1</f>
        <v>840.1</v>
      </c>
      <c r="F278" s="4"/>
    </row>
    <row r="279" spans="1:6" x14ac:dyDescent="0.35">
      <c r="A279" s="1" t="s">
        <v>218</v>
      </c>
      <c r="B279">
        <v>60</v>
      </c>
      <c r="C279" t="s">
        <v>901</v>
      </c>
      <c r="E279" s="4">
        <f>SUM($F$9:G278)+0.1</f>
        <v>840.1</v>
      </c>
      <c r="F279" s="4"/>
    </row>
    <row r="280" spans="1:6" x14ac:dyDescent="0.35">
      <c r="A280" s="1" t="s">
        <v>113</v>
      </c>
      <c r="B280">
        <v>60</v>
      </c>
      <c r="C280" t="s">
        <v>900</v>
      </c>
      <c r="E280" s="4">
        <f>SUM($F$9:G279)+0.1</f>
        <v>840.1</v>
      </c>
      <c r="F280" s="4"/>
    </row>
    <row r="281" spans="1:6" x14ac:dyDescent="0.35">
      <c r="A281" s="1" t="s">
        <v>423</v>
      </c>
      <c r="B281">
        <v>60</v>
      </c>
      <c r="C281" t="s">
        <v>900</v>
      </c>
      <c r="E281" s="4">
        <f>SUM($F$9:G280)+0.1</f>
        <v>840.1</v>
      </c>
      <c r="F281" s="4"/>
    </row>
    <row r="282" spans="1:6" x14ac:dyDescent="0.35">
      <c r="A282" s="1" t="s">
        <v>543</v>
      </c>
      <c r="B282">
        <v>60</v>
      </c>
      <c r="C282" t="s">
        <v>900</v>
      </c>
      <c r="E282" s="4">
        <f>SUM($F$9:G281)+0.1</f>
        <v>840.1</v>
      </c>
      <c r="F282" s="4"/>
    </row>
    <row r="283" spans="1:6" x14ac:dyDescent="0.35">
      <c r="A283" s="1" t="s">
        <v>544</v>
      </c>
      <c r="B283">
        <v>60</v>
      </c>
      <c r="C283" t="s">
        <v>900</v>
      </c>
      <c r="E283" s="4">
        <f>SUM($F$9:G282)+0.1</f>
        <v>840.1</v>
      </c>
      <c r="F283" s="4"/>
    </row>
    <row r="284" spans="1:6" x14ac:dyDescent="0.35">
      <c r="A284" s="1" t="s">
        <v>545</v>
      </c>
      <c r="B284">
        <v>60</v>
      </c>
      <c r="C284" t="s">
        <v>900</v>
      </c>
      <c r="E284" s="4">
        <f>SUM($F$9:G283)+0.1</f>
        <v>840.1</v>
      </c>
      <c r="F284" s="4"/>
    </row>
    <row r="285" spans="1:6" x14ac:dyDescent="0.35">
      <c r="A285" s="1" t="s">
        <v>372</v>
      </c>
      <c r="B285">
        <v>30</v>
      </c>
      <c r="C285" t="s">
        <v>900</v>
      </c>
      <c r="E285" s="4">
        <f>SUM($F$9:G284)+0.1</f>
        <v>840.1</v>
      </c>
      <c r="F285" s="4"/>
    </row>
    <row r="286" spans="1:6" x14ac:dyDescent="0.35">
      <c r="A286" s="1" t="s">
        <v>424</v>
      </c>
      <c r="B286">
        <v>60</v>
      </c>
      <c r="C286" t="s">
        <v>901</v>
      </c>
      <c r="E286" s="4">
        <f>SUM($F$9:G285)+0.1</f>
        <v>840.1</v>
      </c>
      <c r="F286" s="4"/>
    </row>
    <row r="287" spans="1:6" x14ac:dyDescent="0.35">
      <c r="A287" s="1" t="s">
        <v>1861</v>
      </c>
      <c r="C287" t="s">
        <v>901</v>
      </c>
      <c r="E287" s="4">
        <f>SUM($F$9:G286)+0.1</f>
        <v>840.1</v>
      </c>
      <c r="F287" s="4">
        <v>5</v>
      </c>
    </row>
    <row r="288" spans="1:6" x14ac:dyDescent="0.35">
      <c r="A288" s="1" t="s">
        <v>373</v>
      </c>
      <c r="B288">
        <v>60</v>
      </c>
      <c r="C288" t="s">
        <v>901</v>
      </c>
      <c r="E288" s="4">
        <f>SUM($F$9:G287)+0.1</f>
        <v>845.1</v>
      </c>
      <c r="F288" s="4"/>
    </row>
    <row r="289" spans="1:6" x14ac:dyDescent="0.35">
      <c r="A289" s="1" t="s">
        <v>754</v>
      </c>
      <c r="B289">
        <v>60</v>
      </c>
      <c r="C289" t="s">
        <v>900</v>
      </c>
      <c r="E289" s="4">
        <f>SUM($F$9:G288)+0.1</f>
        <v>845.1</v>
      </c>
      <c r="F289" s="4"/>
    </row>
    <row r="290" spans="1:6" x14ac:dyDescent="0.35">
      <c r="A290" s="1" t="s">
        <v>717</v>
      </c>
      <c r="B290">
        <v>60</v>
      </c>
      <c r="C290" t="s">
        <v>900</v>
      </c>
      <c r="E290" s="4">
        <f>SUM($F$9:G289)+0.1</f>
        <v>845.1</v>
      </c>
      <c r="F290" s="4"/>
    </row>
    <row r="291" spans="1:6" x14ac:dyDescent="0.35">
      <c r="A291" s="1" t="s">
        <v>116</v>
      </c>
      <c r="B291">
        <v>60</v>
      </c>
      <c r="C291" t="s">
        <v>901</v>
      </c>
      <c r="E291" s="4">
        <f>SUM($F$9:G290)+0.1</f>
        <v>845.1</v>
      </c>
      <c r="F291" s="4">
        <v>10</v>
      </c>
    </row>
    <row r="292" spans="1:6" x14ac:dyDescent="0.35">
      <c r="A292" s="1" t="s">
        <v>837</v>
      </c>
      <c r="B292">
        <v>60</v>
      </c>
      <c r="C292">
        <v>1</v>
      </c>
      <c r="E292" s="4">
        <f>SUM($F$9:G291)+0.1</f>
        <v>855.1</v>
      </c>
      <c r="F292" s="4"/>
    </row>
    <row r="293" spans="1:6" x14ac:dyDescent="0.35">
      <c r="A293" s="1" t="s">
        <v>117</v>
      </c>
      <c r="B293">
        <v>60</v>
      </c>
      <c r="C293" t="s">
        <v>903</v>
      </c>
      <c r="E293" s="4">
        <f>SUM($F$9:G292)+0.1</f>
        <v>855.1</v>
      </c>
      <c r="F293" s="4">
        <v>15</v>
      </c>
    </row>
    <row r="294" spans="1:6" x14ac:dyDescent="0.35">
      <c r="A294" s="1" t="s">
        <v>756</v>
      </c>
      <c r="B294">
        <v>60</v>
      </c>
      <c r="C294" t="s">
        <v>900</v>
      </c>
      <c r="E294" s="4">
        <f>SUM($F$9:G293)+0.1</f>
        <v>870.1</v>
      </c>
      <c r="F294" s="4"/>
    </row>
    <row r="295" spans="1:6" x14ac:dyDescent="0.35">
      <c r="A295" s="1" t="s">
        <v>639</v>
      </c>
      <c r="B295">
        <v>60</v>
      </c>
      <c r="C295" t="s">
        <v>903</v>
      </c>
      <c r="E295" s="4">
        <f>SUM($F$9:G294)+0.1</f>
        <v>870.1</v>
      </c>
      <c r="F295" s="4"/>
    </row>
    <row r="296" spans="1:6" x14ac:dyDescent="0.35">
      <c r="A296" s="1" t="s">
        <v>121</v>
      </c>
      <c r="B296">
        <v>60</v>
      </c>
      <c r="C296" t="s">
        <v>901</v>
      </c>
      <c r="E296" s="4">
        <f>SUM($F$9:G295)+0.1</f>
        <v>870.1</v>
      </c>
      <c r="F296" s="4"/>
    </row>
    <row r="297" spans="1:6" x14ac:dyDescent="0.35">
      <c r="A297" s="1" t="s">
        <v>425</v>
      </c>
      <c r="B297">
        <v>60</v>
      </c>
      <c r="C297" t="s">
        <v>900</v>
      </c>
      <c r="E297" s="4">
        <f>SUM($F$9:G296)+0.1</f>
        <v>870.1</v>
      </c>
      <c r="F297" s="4"/>
    </row>
    <row r="298" spans="1:6" x14ac:dyDescent="0.35">
      <c r="A298" s="1" t="s">
        <v>378</v>
      </c>
      <c r="B298">
        <v>60</v>
      </c>
      <c r="C298" t="s">
        <v>903</v>
      </c>
      <c r="E298" s="4">
        <f>SUM($F$9:G297)+0.1</f>
        <v>870.1</v>
      </c>
      <c r="F298" s="4"/>
    </row>
    <row r="299" spans="1:6" x14ac:dyDescent="0.35">
      <c r="A299" s="1" t="s">
        <v>426</v>
      </c>
      <c r="B299">
        <v>60</v>
      </c>
      <c r="C299" t="s">
        <v>900</v>
      </c>
      <c r="E299" s="4">
        <f>SUM($F$9:G298)+0.1</f>
        <v>870.1</v>
      </c>
      <c r="F299" s="4"/>
    </row>
    <row r="300" spans="1:6" x14ac:dyDescent="0.35">
      <c r="A300" s="1" t="s">
        <v>427</v>
      </c>
      <c r="B300">
        <v>60</v>
      </c>
      <c r="C300" t="s">
        <v>901</v>
      </c>
      <c r="E300" s="4">
        <f>SUM($F$9:G299)+0.1</f>
        <v>870.1</v>
      </c>
      <c r="F300" s="4"/>
    </row>
    <row r="301" spans="1:6" x14ac:dyDescent="0.35">
      <c r="A301" s="1" t="s">
        <v>787</v>
      </c>
      <c r="B301">
        <v>60</v>
      </c>
      <c r="C301" t="s">
        <v>900</v>
      </c>
      <c r="E301" s="4">
        <f>SUM($F$9:G300)+0.1</f>
        <v>870.1</v>
      </c>
      <c r="F301" s="4"/>
    </row>
    <row r="302" spans="1:6" x14ac:dyDescent="0.35">
      <c r="A302" s="1" t="s">
        <v>379</v>
      </c>
      <c r="B302">
        <v>60</v>
      </c>
      <c r="C302" t="s">
        <v>901</v>
      </c>
      <c r="E302" s="4">
        <f>SUM($F$9:G301)+0.1</f>
        <v>870.1</v>
      </c>
      <c r="F302" s="4"/>
    </row>
    <row r="303" spans="1:6" x14ac:dyDescent="0.35">
      <c r="A303" s="1" t="s">
        <v>722</v>
      </c>
      <c r="B303">
        <v>60</v>
      </c>
      <c r="C303" t="s">
        <v>901</v>
      </c>
      <c r="E303" s="4">
        <f>SUM($F$9:G302)+0.1</f>
        <v>870.1</v>
      </c>
      <c r="F303" s="4">
        <v>10</v>
      </c>
    </row>
    <row r="304" spans="1:6" x14ac:dyDescent="0.35">
      <c r="A304" s="1" t="s">
        <v>826</v>
      </c>
      <c r="B304">
        <v>60</v>
      </c>
      <c r="C304" t="s">
        <v>900</v>
      </c>
      <c r="E304" s="4">
        <f>SUM($F$9:G303)+0.1</f>
        <v>880.1</v>
      </c>
      <c r="F304" s="4"/>
    </row>
    <row r="305" spans="1:6" x14ac:dyDescent="0.35">
      <c r="A305" s="1" t="s">
        <v>208</v>
      </c>
      <c r="B305">
        <v>60</v>
      </c>
      <c r="C305" t="s">
        <v>901</v>
      </c>
      <c r="E305" s="4">
        <f>SUM($F$9:G304)+0.1</f>
        <v>880.1</v>
      </c>
      <c r="F305" s="4"/>
    </row>
    <row r="306" spans="1:6" x14ac:dyDescent="0.35">
      <c r="A306" s="1" t="s">
        <v>381</v>
      </c>
      <c r="B306">
        <v>60</v>
      </c>
      <c r="C306" t="s">
        <v>900</v>
      </c>
      <c r="E306" s="4">
        <f>SUM($F$9:G305)+0.1</f>
        <v>880.1</v>
      </c>
      <c r="F306" s="4">
        <v>5</v>
      </c>
    </row>
    <row r="307" spans="1:6" x14ac:dyDescent="0.35">
      <c r="A307" s="1" t="s">
        <v>827</v>
      </c>
      <c r="B307">
        <v>60</v>
      </c>
      <c r="C307" t="s">
        <v>900</v>
      </c>
      <c r="E307" s="4">
        <f>SUM($F$9:G306)+0.1</f>
        <v>885.1</v>
      </c>
      <c r="F307" s="4"/>
    </row>
    <row r="308" spans="1:6" x14ac:dyDescent="0.35">
      <c r="A308" s="1" t="s">
        <v>383</v>
      </c>
      <c r="B308">
        <v>60</v>
      </c>
      <c r="C308" t="s">
        <v>900</v>
      </c>
      <c r="E308" s="4">
        <f>SUM($F$9:G307)+0.1</f>
        <v>885.1</v>
      </c>
      <c r="F308" s="4"/>
    </row>
    <row r="309" spans="1:6" x14ac:dyDescent="0.35">
      <c r="A309" s="1" t="s">
        <v>757</v>
      </c>
      <c r="B309">
        <v>60</v>
      </c>
      <c r="C309" t="s">
        <v>901</v>
      </c>
      <c r="E309" s="4">
        <f>SUM($F$9:G308)+0.1</f>
        <v>885.1</v>
      </c>
      <c r="F309" s="4"/>
    </row>
    <row r="310" spans="1:6" x14ac:dyDescent="0.35">
      <c r="A310" s="1" t="s">
        <v>170</v>
      </c>
      <c r="B310">
        <v>60</v>
      </c>
      <c r="C310" t="s">
        <v>900</v>
      </c>
      <c r="E310" s="4">
        <f>SUM($F$9:G309)+0.1</f>
        <v>885.1</v>
      </c>
      <c r="F310" s="4"/>
    </row>
    <row r="311" spans="1:6" x14ac:dyDescent="0.35">
      <c r="A311" s="1" t="s">
        <v>871</v>
      </c>
      <c r="B311">
        <v>60</v>
      </c>
      <c r="C311" t="s">
        <v>901</v>
      </c>
      <c r="E311" s="4">
        <f>SUM($F$9:G310)+0.1</f>
        <v>885.1</v>
      </c>
      <c r="F311" s="4"/>
    </row>
    <row r="312" spans="1:6" x14ac:dyDescent="0.35">
      <c r="A312" s="1" t="s">
        <v>724</v>
      </c>
      <c r="B312">
        <v>60</v>
      </c>
      <c r="C312" t="s">
        <v>900</v>
      </c>
      <c r="E312" s="4">
        <f>SUM($F$9:G311)+0.1</f>
        <v>885.1</v>
      </c>
      <c r="F312" s="4"/>
    </row>
    <row r="313" spans="1:6" x14ac:dyDescent="0.35">
      <c r="A313" s="12" t="s">
        <v>131</v>
      </c>
      <c r="B313">
        <v>60</v>
      </c>
      <c r="C313" t="s">
        <v>903</v>
      </c>
      <c r="E313" s="4">
        <f>SUM($F$9:G312)+0.1</f>
        <v>885.1</v>
      </c>
      <c r="F313" s="4">
        <v>20</v>
      </c>
    </row>
    <row r="314" spans="1:6" x14ac:dyDescent="0.35">
      <c r="A314" s="1" t="s">
        <v>725</v>
      </c>
      <c r="B314">
        <v>30</v>
      </c>
      <c r="C314" t="s">
        <v>903</v>
      </c>
      <c r="E314" s="4">
        <f>SUM($F$9:G313)+0.1</f>
        <v>905.1</v>
      </c>
      <c r="F314" s="4"/>
    </row>
    <row r="315" spans="1:6" x14ac:dyDescent="0.35">
      <c r="A315" s="1" t="s">
        <v>134</v>
      </c>
      <c r="B315">
        <v>60</v>
      </c>
      <c r="C315" t="s">
        <v>901</v>
      </c>
      <c r="E315" s="4">
        <f>SUM($F$9:G314)+0.1</f>
        <v>905.1</v>
      </c>
      <c r="F315" s="4">
        <v>20</v>
      </c>
    </row>
    <row r="316" spans="1:6" x14ac:dyDescent="0.35">
      <c r="A316" s="1" t="s">
        <v>655</v>
      </c>
      <c r="B316">
        <v>60</v>
      </c>
      <c r="C316" t="s">
        <v>901</v>
      </c>
      <c r="E316" s="4">
        <f>SUM($F$9:G315)+0.1</f>
        <v>925.1</v>
      </c>
      <c r="F316" s="4">
        <v>20</v>
      </c>
    </row>
    <row r="317" spans="1:6" x14ac:dyDescent="0.35">
      <c r="A317" s="1" t="s">
        <v>656</v>
      </c>
      <c r="B317">
        <v>60</v>
      </c>
      <c r="C317">
        <v>1</v>
      </c>
      <c r="E317" s="4">
        <f>SUM($F$9:G316)+0.1</f>
        <v>945.1</v>
      </c>
      <c r="F317" s="4"/>
    </row>
    <row r="318" spans="1:6" x14ac:dyDescent="0.35">
      <c r="A318" s="1" t="s">
        <v>431</v>
      </c>
      <c r="B318">
        <v>60</v>
      </c>
      <c r="C318" t="s">
        <v>900</v>
      </c>
      <c r="E318" s="4">
        <f>SUM($F$9:G317)+0.1</f>
        <v>945.1</v>
      </c>
      <c r="F318" s="4"/>
    </row>
    <row r="319" spans="1:6" x14ac:dyDescent="0.35">
      <c r="A319" s="1" t="s">
        <v>435</v>
      </c>
      <c r="B319">
        <v>60</v>
      </c>
      <c r="C319" t="s">
        <v>901</v>
      </c>
      <c r="E319" s="4">
        <f>SUM($F$9:G318)+0.1</f>
        <v>945.1</v>
      </c>
      <c r="F319" s="4"/>
    </row>
    <row r="320" spans="1:6" x14ac:dyDescent="0.35">
      <c r="A320" s="1" t="s">
        <v>769</v>
      </c>
      <c r="B320">
        <v>60</v>
      </c>
      <c r="C320" t="s">
        <v>900</v>
      </c>
      <c r="E320" s="4">
        <f>SUM($F$9:G319)+0.1</f>
        <v>945.1</v>
      </c>
      <c r="F320" s="4"/>
    </row>
    <row r="321" spans="1:6" x14ac:dyDescent="0.35">
      <c r="A321" s="1" t="s">
        <v>138</v>
      </c>
      <c r="B321">
        <v>60</v>
      </c>
      <c r="C321" t="s">
        <v>903</v>
      </c>
      <c r="E321" s="4">
        <f>SUM($F$9:G320)+0.1</f>
        <v>945.1</v>
      </c>
      <c r="F321" s="4">
        <v>25</v>
      </c>
    </row>
    <row r="322" spans="1:6" x14ac:dyDescent="0.35">
      <c r="A322" s="1" t="s">
        <v>574</v>
      </c>
      <c r="B322">
        <v>60</v>
      </c>
      <c r="C322">
        <v>1</v>
      </c>
      <c r="E322" s="4">
        <f>SUM($F$9:G321)+0.1</f>
        <v>970.1</v>
      </c>
      <c r="F322" s="4"/>
    </row>
    <row r="323" spans="1:6" x14ac:dyDescent="0.35">
      <c r="A323" s="1" t="s">
        <v>437</v>
      </c>
      <c r="B323">
        <v>30</v>
      </c>
      <c r="C323">
        <v>1</v>
      </c>
      <c r="E323" s="4">
        <f>SUM($F$9:G322)+0.1</f>
        <v>970.1</v>
      </c>
      <c r="F323" s="4"/>
    </row>
    <row r="324" spans="1:6" x14ac:dyDescent="0.35">
      <c r="A324" s="1" t="s">
        <v>440</v>
      </c>
      <c r="B324">
        <v>60</v>
      </c>
      <c r="C324" t="s">
        <v>900</v>
      </c>
      <c r="E324" s="4">
        <f>SUM($F$9:G323)+0.1</f>
        <v>970.1</v>
      </c>
      <c r="F324" s="4"/>
    </row>
    <row r="325" spans="1:6" x14ac:dyDescent="0.35">
      <c r="A325" s="1" t="s">
        <v>575</v>
      </c>
      <c r="B325">
        <v>60</v>
      </c>
      <c r="C325" t="s">
        <v>901</v>
      </c>
      <c r="E325" s="4">
        <f>SUM($F$9:G324)+0.1</f>
        <v>970.1</v>
      </c>
      <c r="F325" s="4">
        <v>5</v>
      </c>
    </row>
    <row r="326" spans="1:6" x14ac:dyDescent="0.35">
      <c r="A326" s="1" t="s">
        <v>194</v>
      </c>
      <c r="B326">
        <v>60</v>
      </c>
      <c r="C326" t="s">
        <v>901</v>
      </c>
      <c r="E326" s="4">
        <f>SUM($F$9:G325)+0.1</f>
        <v>975.1</v>
      </c>
      <c r="F326" s="4"/>
    </row>
    <row r="327" spans="1:6" x14ac:dyDescent="0.35">
      <c r="A327" s="1" t="s">
        <v>442</v>
      </c>
      <c r="B327">
        <v>30</v>
      </c>
      <c r="C327" t="s">
        <v>903</v>
      </c>
      <c r="E327" s="4">
        <f>SUM($F$9:G326)+0.1</f>
        <v>975.1</v>
      </c>
      <c r="F327" s="4"/>
    </row>
    <row r="328" spans="1:6" x14ac:dyDescent="0.35">
      <c r="A328" s="1" t="s">
        <v>650</v>
      </c>
      <c r="B328">
        <v>60</v>
      </c>
      <c r="C328" t="s">
        <v>900</v>
      </c>
      <c r="E328" s="4">
        <f>SUM($F$9:G327)+0.1</f>
        <v>975.1</v>
      </c>
      <c r="F328" s="4"/>
    </row>
    <row r="329" spans="1:6" x14ac:dyDescent="0.35">
      <c r="A329" s="1" t="s">
        <v>444</v>
      </c>
      <c r="B329">
        <v>60</v>
      </c>
      <c r="C329" t="s">
        <v>900</v>
      </c>
      <c r="E329" s="4">
        <f>SUM($F$9:G328)+0.1</f>
        <v>975.1</v>
      </c>
      <c r="F329" s="4"/>
    </row>
    <row r="330" spans="1:6" x14ac:dyDescent="0.35">
      <c r="A330" s="1" t="s">
        <v>144</v>
      </c>
      <c r="B330">
        <v>60</v>
      </c>
      <c r="C330" t="s">
        <v>901</v>
      </c>
      <c r="E330" s="4">
        <f>SUM($F$9:G329)+0.1</f>
        <v>975.1</v>
      </c>
      <c r="F330" s="4">
        <v>10</v>
      </c>
    </row>
    <row r="331" spans="1:6" x14ac:dyDescent="0.35">
      <c r="A331" s="1" t="s">
        <v>446</v>
      </c>
      <c r="B331">
        <v>60</v>
      </c>
      <c r="C331" t="s">
        <v>901</v>
      </c>
      <c r="E331" s="4">
        <f>SUM($F$9:G330)+0.1</f>
        <v>985.1</v>
      </c>
      <c r="F331" s="4"/>
    </row>
    <row r="332" spans="1:6" x14ac:dyDescent="0.35">
      <c r="A332" s="1" t="s">
        <v>759</v>
      </c>
      <c r="B332">
        <v>60</v>
      </c>
      <c r="C332" t="s">
        <v>900</v>
      </c>
      <c r="E332" s="4">
        <f>SUM($F$9:G331)+0.1</f>
        <v>985.1</v>
      </c>
      <c r="F332" s="4"/>
    </row>
    <row r="333" spans="1:6" x14ac:dyDescent="0.35">
      <c r="A333" s="1" t="s">
        <v>210</v>
      </c>
      <c r="B333">
        <v>60</v>
      </c>
      <c r="C333" t="s">
        <v>901</v>
      </c>
      <c r="E333" s="4">
        <f>SUM($F$9:G332)+0.1</f>
        <v>985.1</v>
      </c>
      <c r="F333" s="4"/>
    </row>
    <row r="334" spans="1:6" x14ac:dyDescent="0.35">
      <c r="A334" s="1" t="s">
        <v>840</v>
      </c>
      <c r="B334">
        <v>60</v>
      </c>
      <c r="C334" t="s">
        <v>901</v>
      </c>
      <c r="E334" s="4">
        <f>SUM($F$9:G333)+0.1</f>
        <v>985.1</v>
      </c>
      <c r="F334" s="4"/>
    </row>
    <row r="335" spans="1:6" x14ac:dyDescent="0.35">
      <c r="A335" s="1" t="s">
        <v>577</v>
      </c>
      <c r="B335">
        <v>60</v>
      </c>
      <c r="C335" t="s">
        <v>901</v>
      </c>
      <c r="E335" s="4">
        <f>SUM($F$9:G334)+0.1</f>
        <v>985.1</v>
      </c>
      <c r="F335" s="4">
        <v>5</v>
      </c>
    </row>
    <row r="336" spans="1:6" x14ac:dyDescent="0.35">
      <c r="A336" s="1" t="s">
        <v>450</v>
      </c>
      <c r="B336">
        <v>60</v>
      </c>
      <c r="C336" t="s">
        <v>901</v>
      </c>
      <c r="E336" s="4">
        <f>SUM($F$9:G335)+0.1</f>
        <v>990.1</v>
      </c>
      <c r="F336" s="4"/>
    </row>
    <row r="337" spans="1:6" x14ac:dyDescent="0.35">
      <c r="A337" s="1" t="s">
        <v>774</v>
      </c>
      <c r="B337">
        <v>60</v>
      </c>
      <c r="C337" t="s">
        <v>900</v>
      </c>
      <c r="E337" s="4">
        <f>SUM($F$9:G336)+0.1</f>
        <v>990.1</v>
      </c>
      <c r="F337" s="4"/>
    </row>
    <row r="338" spans="1:6" x14ac:dyDescent="0.35">
      <c r="A338" s="1" t="s">
        <v>451</v>
      </c>
      <c r="B338">
        <v>60</v>
      </c>
      <c r="C338" t="s">
        <v>901</v>
      </c>
      <c r="E338" s="4">
        <f>SUM($F$9:G337)+0.1</f>
        <v>990.1</v>
      </c>
      <c r="F338" s="4">
        <v>5</v>
      </c>
    </row>
    <row r="339" spans="1:6" x14ac:dyDescent="0.35">
      <c r="A339" s="1" t="s">
        <v>775</v>
      </c>
      <c r="B339">
        <v>60</v>
      </c>
      <c r="C339" t="s">
        <v>901</v>
      </c>
      <c r="E339" s="4">
        <f>SUM($F$9:G338)+0.1</f>
        <v>995.1</v>
      </c>
      <c r="F339" s="4"/>
    </row>
    <row r="340" spans="1:6" x14ac:dyDescent="0.35">
      <c r="A340" s="1" t="s">
        <v>453</v>
      </c>
      <c r="B340">
        <v>60</v>
      </c>
      <c r="C340">
        <v>1</v>
      </c>
      <c r="E340" s="4">
        <f>SUM($F$9:G339)+0.1</f>
        <v>995.1</v>
      </c>
      <c r="F340" s="4"/>
    </row>
    <row r="341" spans="1:6" x14ac:dyDescent="0.35">
      <c r="A341" s="1" t="s">
        <v>652</v>
      </c>
      <c r="B341">
        <v>60</v>
      </c>
      <c r="C341" t="s">
        <v>901</v>
      </c>
      <c r="D341" t="s">
        <v>919</v>
      </c>
      <c r="E341" s="4">
        <f>SUM($F$9:G340)+0.1</f>
        <v>995.1</v>
      </c>
      <c r="F341" s="4"/>
    </row>
    <row r="342" spans="1:6" x14ac:dyDescent="0.35">
      <c r="A342" s="1" t="s">
        <v>653</v>
      </c>
      <c r="B342">
        <v>60</v>
      </c>
      <c r="C342" t="s">
        <v>901</v>
      </c>
      <c r="E342" s="4">
        <f>SUM($F$9:G341)+0.1</f>
        <v>995.1</v>
      </c>
      <c r="F342" s="4"/>
    </row>
    <row r="343" spans="1:6" x14ac:dyDescent="0.35">
      <c r="A343" s="1" t="s">
        <v>454</v>
      </c>
      <c r="B343">
        <v>60</v>
      </c>
      <c r="C343" t="s">
        <v>901</v>
      </c>
      <c r="E343" s="4">
        <f>SUM($F$9:G342)+0.1</f>
        <v>995.1</v>
      </c>
      <c r="F343" s="4"/>
    </row>
    <row r="344" spans="1:6" x14ac:dyDescent="0.35">
      <c r="A344" s="1" t="s">
        <v>455</v>
      </c>
      <c r="B344">
        <v>60</v>
      </c>
      <c r="C344" t="s">
        <v>900</v>
      </c>
      <c r="E344" s="4">
        <f>SUM($F$9:G343)+0.1</f>
        <v>995.1</v>
      </c>
      <c r="F344" s="4"/>
    </row>
    <row r="345" spans="1:6" x14ac:dyDescent="0.35">
      <c r="A345" s="1" t="s">
        <v>147</v>
      </c>
      <c r="B345">
        <v>30</v>
      </c>
      <c r="C345" t="s">
        <v>903</v>
      </c>
      <c r="E345" s="4">
        <f>SUM($F$9:G344)+0.1</f>
        <v>995.1</v>
      </c>
      <c r="F345" s="4"/>
    </row>
    <row r="346" spans="1:6" x14ac:dyDescent="0.35">
      <c r="A346" s="1" t="s">
        <v>430</v>
      </c>
      <c r="B346">
        <v>30</v>
      </c>
      <c r="C346" t="s">
        <v>901</v>
      </c>
      <c r="E346" s="4">
        <f>SUM($F$9:G345)+0.1</f>
        <v>995.1</v>
      </c>
      <c r="F346" s="4"/>
    </row>
    <row r="347" spans="1:6" x14ac:dyDescent="0.35">
      <c r="A347" s="1" t="s">
        <v>891</v>
      </c>
      <c r="B347">
        <v>60</v>
      </c>
      <c r="C347">
        <v>1</v>
      </c>
      <c r="E347" s="4">
        <f>SUM($F$9:G346)+0.1</f>
        <v>995.1</v>
      </c>
      <c r="F347" s="4"/>
    </row>
    <row r="348" spans="1:6" x14ac:dyDescent="0.35">
      <c r="A348" s="1" t="s">
        <v>457</v>
      </c>
      <c r="B348">
        <v>60</v>
      </c>
      <c r="C348" t="s">
        <v>901</v>
      </c>
      <c r="E348" s="4">
        <f>SUM($F$9:G347)+0.1</f>
        <v>995.1</v>
      </c>
      <c r="F348" s="4"/>
    </row>
    <row r="349" spans="1:6" x14ac:dyDescent="0.35">
      <c r="A349" s="1" t="s">
        <v>913</v>
      </c>
      <c r="B349">
        <v>60</v>
      </c>
      <c r="C349" t="s">
        <v>901</v>
      </c>
      <c r="E349" s="4">
        <f>SUM($F$9:G348)+0.1</f>
        <v>995.1</v>
      </c>
      <c r="F349" s="4">
        <v>5</v>
      </c>
    </row>
    <row r="350" spans="1:6" x14ac:dyDescent="0.35">
      <c r="A350" s="1" t="s">
        <v>763</v>
      </c>
      <c r="B350">
        <v>60</v>
      </c>
      <c r="C350" t="s">
        <v>900</v>
      </c>
      <c r="E350" s="4">
        <f>SUM($F$9:G349)+0.1</f>
        <v>1000.1</v>
      </c>
      <c r="F350" s="4"/>
    </row>
    <row r="351" spans="1:6" x14ac:dyDescent="0.35">
      <c r="A351" s="1" t="s">
        <v>659</v>
      </c>
      <c r="B351">
        <v>60</v>
      </c>
      <c r="C351" t="s">
        <v>901</v>
      </c>
      <c r="E351" s="4">
        <f>SUM($F$9:G350)+0.1</f>
        <v>1000.1</v>
      </c>
      <c r="F351" s="4"/>
    </row>
    <row r="352" spans="1:6" x14ac:dyDescent="0.35">
      <c r="A352" s="1" t="s">
        <v>764</v>
      </c>
      <c r="B352">
        <v>60</v>
      </c>
      <c r="C352" t="s">
        <v>900</v>
      </c>
      <c r="E352" s="4">
        <f>SUM($F$9:G351)+0.1</f>
        <v>1000.1</v>
      </c>
      <c r="F352" s="4"/>
    </row>
    <row r="353" spans="1:6" x14ac:dyDescent="0.35">
      <c r="A353" s="1" t="s">
        <v>765</v>
      </c>
      <c r="B353">
        <v>60</v>
      </c>
      <c r="C353" t="s">
        <v>900</v>
      </c>
      <c r="E353" s="4">
        <f>SUM($F$9:G352)+0.1</f>
        <v>1000.1</v>
      </c>
      <c r="F353" s="4"/>
    </row>
    <row r="354" spans="1:6" x14ac:dyDescent="0.35">
      <c r="A354" s="1" t="s">
        <v>1918</v>
      </c>
      <c r="E354" s="4">
        <f>SUM($F$9:G353)+0.1</f>
        <v>1000.1</v>
      </c>
      <c r="F354" s="4"/>
    </row>
    <row r="355" spans="1:6" x14ac:dyDescent="0.35">
      <c r="A355" s="1" t="s">
        <v>1873</v>
      </c>
      <c r="E355" s="4">
        <f>SUM($F$9:G354)+0.1</f>
        <v>1000.1</v>
      </c>
      <c r="F355" s="4"/>
    </row>
    <row r="356" spans="1:6" x14ac:dyDescent="0.35">
      <c r="A356" s="1" t="s">
        <v>1928</v>
      </c>
      <c r="E356" s="4">
        <f>SUM($F$9:G355)+0.1</f>
        <v>1000.1</v>
      </c>
      <c r="F356" s="4"/>
    </row>
    <row r="357" spans="1:6" x14ac:dyDescent="0.35">
      <c r="A357" s="1" t="s">
        <v>1932</v>
      </c>
      <c r="E357" s="4">
        <f>SUM($F$9:G356)+0.1</f>
        <v>1000.1</v>
      </c>
      <c r="F357" s="4"/>
    </row>
    <row r="358" spans="1:6" x14ac:dyDescent="0.35">
      <c r="A358" s="1" t="s">
        <v>1933</v>
      </c>
      <c r="E358" s="4">
        <f>SUM($F$9:G357)+0.1</f>
        <v>1000.1</v>
      </c>
      <c r="F358" s="4"/>
    </row>
    <row r="359" spans="1:6" x14ac:dyDescent="0.35">
      <c r="A359" s="1" t="s">
        <v>1938</v>
      </c>
      <c r="E359" s="4">
        <f>SUM($F$9:G358)+0.1</f>
        <v>1000.1</v>
      </c>
      <c r="F359" s="4"/>
    </row>
    <row r="360" spans="1:6" x14ac:dyDescent="0.35">
      <c r="A360" s="1" t="s">
        <v>1940</v>
      </c>
      <c r="E360" s="4">
        <f>SUM($F$9:G359)+0.1</f>
        <v>1000.1</v>
      </c>
      <c r="F360" s="4"/>
    </row>
    <row r="361" spans="1:6" x14ac:dyDescent="0.35">
      <c r="A361" s="1" t="s">
        <v>1918</v>
      </c>
      <c r="E361" s="4">
        <f>SUM($F$9:G360)+0.1</f>
        <v>1000.1</v>
      </c>
      <c r="F361" s="4"/>
    </row>
    <row r="362" spans="1:6" x14ac:dyDescent="0.35">
      <c r="E362" s="4">
        <f>SUM($F$9:G361)+0.1</f>
        <v>1000.1</v>
      </c>
      <c r="F362" s="4"/>
    </row>
    <row r="363" spans="1:6" x14ac:dyDescent="0.35">
      <c r="E363" s="4">
        <f>SUM($F$9:G362)+0.1</f>
        <v>1000.1</v>
      </c>
      <c r="F363" s="4"/>
    </row>
    <row r="364" spans="1:6" x14ac:dyDescent="0.35">
      <c r="E364" s="4">
        <f>SUM($F$9:G363)+0.1</f>
        <v>1000.1</v>
      </c>
      <c r="F364" s="4"/>
    </row>
    <row r="365" spans="1:6" x14ac:dyDescent="0.35">
      <c r="E365" s="4">
        <f>SUM($F$9:G364)+0.1</f>
        <v>1000.1</v>
      </c>
      <c r="F365" s="4"/>
    </row>
    <row r="366" spans="1:6" x14ac:dyDescent="0.35">
      <c r="E366" s="4">
        <f>SUM($F$9:G365)+0.1</f>
        <v>1000.1</v>
      </c>
      <c r="F366" s="4"/>
    </row>
    <row r="367" spans="1:6" x14ac:dyDescent="0.35">
      <c r="E367" s="4">
        <f>SUM($F$9:G366)+0.1</f>
        <v>1000.1</v>
      </c>
      <c r="F367" s="4"/>
    </row>
    <row r="368" spans="1:6" x14ac:dyDescent="0.35">
      <c r="E368" s="4">
        <f>SUM($F$9:G367)+0.1</f>
        <v>1000.1</v>
      </c>
      <c r="F368" s="4"/>
    </row>
    <row r="369" spans="5:6" x14ac:dyDescent="0.35">
      <c r="E369" s="4">
        <f>SUM($F$9:G368)+0.1</f>
        <v>1000.1</v>
      </c>
      <c r="F369" s="4"/>
    </row>
    <row r="370" spans="5:6" x14ac:dyDescent="0.35">
      <c r="E370" s="4">
        <f>SUM($F$9:G369)+0.1</f>
        <v>1000.1</v>
      </c>
      <c r="F370" s="4"/>
    </row>
    <row r="371" spans="5:6" x14ac:dyDescent="0.35">
      <c r="E371" s="4">
        <f>SUM($F$9:G370)+0.1</f>
        <v>1000.1</v>
      </c>
      <c r="F371" s="4"/>
    </row>
    <row r="372" spans="5:6" x14ac:dyDescent="0.35">
      <c r="E372" s="4">
        <f>SUM($F$9:G371)+0.1</f>
        <v>1000.1</v>
      </c>
      <c r="F372" s="4"/>
    </row>
    <row r="373" spans="5:6" x14ac:dyDescent="0.35">
      <c r="E373" s="4">
        <f>SUM($F$9:G372)+0.1</f>
        <v>1000.1</v>
      </c>
      <c r="F373" s="4"/>
    </row>
    <row r="374" spans="5:6" x14ac:dyDescent="0.35">
      <c r="E374" s="4">
        <f>SUM($F$9:G373)+0.1</f>
        <v>1000.1</v>
      </c>
      <c r="F374" s="4"/>
    </row>
    <row r="375" spans="5:6" x14ac:dyDescent="0.35">
      <c r="E375" s="4">
        <f>SUM($F$9:G374)+0.1</f>
        <v>1000.1</v>
      </c>
      <c r="F375" s="4"/>
    </row>
    <row r="376" spans="5:6" x14ac:dyDescent="0.35">
      <c r="E376" s="4">
        <f>SUM($F$9:G375)+0.1</f>
        <v>1000.1</v>
      </c>
      <c r="F376" s="4"/>
    </row>
    <row r="377" spans="5:6" x14ac:dyDescent="0.35">
      <c r="E377" s="4">
        <f>SUM($F$9:G376)+0.1</f>
        <v>1000.1</v>
      </c>
      <c r="F377" s="4"/>
    </row>
    <row r="378" spans="5:6" x14ac:dyDescent="0.35">
      <c r="E378" s="4">
        <f>SUM($F$9:G377)+0.1</f>
        <v>1000.1</v>
      </c>
      <c r="F378" s="4"/>
    </row>
    <row r="379" spans="5:6" x14ac:dyDescent="0.35">
      <c r="E379" s="4">
        <f>SUM($F$9:G378)+0.1</f>
        <v>1000.1</v>
      </c>
      <c r="F379" s="4"/>
    </row>
    <row r="380" spans="5:6" x14ac:dyDescent="0.35">
      <c r="E380" s="4">
        <f>SUM($F$9:G379)+0.1</f>
        <v>1000.1</v>
      </c>
      <c r="F380" s="4"/>
    </row>
    <row r="381" spans="5:6" x14ac:dyDescent="0.35">
      <c r="E381" s="4">
        <f>SUM($F$9:G380)+0.1</f>
        <v>1000.1</v>
      </c>
      <c r="F381" s="4"/>
    </row>
    <row r="382" spans="5:6" x14ac:dyDescent="0.35">
      <c r="E382" s="4">
        <f>SUM($F$9:G381)+0.1</f>
        <v>1000.1</v>
      </c>
      <c r="F382" s="4"/>
    </row>
    <row r="383" spans="5:6" x14ac:dyDescent="0.35">
      <c r="E383" s="4">
        <f>SUM($F$9:G382)+0.1</f>
        <v>1000.1</v>
      </c>
      <c r="F383" s="4"/>
    </row>
    <row r="384" spans="5:6" x14ac:dyDescent="0.35">
      <c r="E384" s="4">
        <f>SUM($F$9:G383)+0.1</f>
        <v>1000.1</v>
      </c>
      <c r="F384" s="4"/>
    </row>
    <row r="385" spans="5:6" x14ac:dyDescent="0.35">
      <c r="E385" s="4">
        <f>SUM($F$9:G384)+0.1</f>
        <v>1000.1</v>
      </c>
      <c r="F385" s="4"/>
    </row>
    <row r="386" spans="5:6" x14ac:dyDescent="0.35">
      <c r="E386" s="4">
        <f>SUM($F$9:G385)+0.1</f>
        <v>1000.1</v>
      </c>
      <c r="F386" s="4"/>
    </row>
    <row r="387" spans="5:6" x14ac:dyDescent="0.35">
      <c r="E387" s="4">
        <f>SUM($F$9:G386)+0.1</f>
        <v>1000.1</v>
      </c>
      <c r="F387" s="4"/>
    </row>
    <row r="388" spans="5:6" x14ac:dyDescent="0.35">
      <c r="E388" s="4">
        <f>SUM($F$9:G387)+0.1</f>
        <v>1000.1</v>
      </c>
      <c r="F388" s="4"/>
    </row>
    <row r="389" spans="5:6" x14ac:dyDescent="0.35">
      <c r="E389" s="4">
        <f>SUM($F$9:G388)+0.1</f>
        <v>1000.1</v>
      </c>
      <c r="F389" s="4"/>
    </row>
    <row r="390" spans="5:6" x14ac:dyDescent="0.35">
      <c r="E390" s="4">
        <f>SUM($F$9:G389)+0.1</f>
        <v>1000.1</v>
      </c>
      <c r="F390" s="4"/>
    </row>
    <row r="391" spans="5:6" x14ac:dyDescent="0.35">
      <c r="E391" s="4">
        <f>SUM($F$9:G390)+0.1</f>
        <v>1000.1</v>
      </c>
      <c r="F391" s="4"/>
    </row>
    <row r="392" spans="5:6" x14ac:dyDescent="0.35">
      <c r="E392" s="4">
        <f>SUM($F$9:G391)+0.1</f>
        <v>1000.1</v>
      </c>
      <c r="F392" s="4"/>
    </row>
    <row r="393" spans="5:6" x14ac:dyDescent="0.35">
      <c r="E393" s="4">
        <f>SUM($F$9:G392)+0.1</f>
        <v>1000.1</v>
      </c>
      <c r="F393" s="4"/>
    </row>
    <row r="394" spans="5:6" x14ac:dyDescent="0.35">
      <c r="E394" s="4">
        <f>SUM($F$9:G393)+0.1</f>
        <v>1000.1</v>
      </c>
      <c r="F394" s="4"/>
    </row>
    <row r="395" spans="5:6" x14ac:dyDescent="0.35">
      <c r="E395" s="4">
        <f>SUM($F$9:G394)+0.1</f>
        <v>1000.1</v>
      </c>
      <c r="F395" s="4"/>
    </row>
    <row r="396" spans="5:6" x14ac:dyDescent="0.35">
      <c r="E396" s="4">
        <f>SUM($F$9:G395)+0.1</f>
        <v>1000.1</v>
      </c>
      <c r="F396" s="4"/>
    </row>
    <row r="397" spans="5:6" x14ac:dyDescent="0.35">
      <c r="E397" s="4">
        <f>SUM($F$9:G396)+0.1</f>
        <v>1000.1</v>
      </c>
      <c r="F397" s="4"/>
    </row>
    <row r="398" spans="5:6" x14ac:dyDescent="0.35">
      <c r="E398" s="4">
        <f>SUM($F$9:G397)+0.1</f>
        <v>1000.1</v>
      </c>
      <c r="F398" s="4"/>
    </row>
    <row r="399" spans="5:6" x14ac:dyDescent="0.35">
      <c r="E399" s="4">
        <f>SUM($F$9:G398)+0.1</f>
        <v>1000.1</v>
      </c>
      <c r="F399" s="4"/>
    </row>
    <row r="400" spans="5:6" x14ac:dyDescent="0.35">
      <c r="E400" s="4">
        <f>SUM($F$9:G399)+0.1</f>
        <v>1000.1</v>
      </c>
      <c r="F400" s="4"/>
    </row>
    <row r="401" spans="5:6" x14ac:dyDescent="0.35">
      <c r="E401" s="4">
        <f>SUM($F$9:G400)+0.1</f>
        <v>1000.1</v>
      </c>
      <c r="F401" s="4"/>
    </row>
    <row r="402" spans="5:6" x14ac:dyDescent="0.35">
      <c r="E402" s="4">
        <f>SUM($F$9:G401)+0.1</f>
        <v>1000.1</v>
      </c>
      <c r="F402" s="4"/>
    </row>
    <row r="403" spans="5:6" x14ac:dyDescent="0.35">
      <c r="E403" s="4">
        <f>SUM($F$9:G402)+0.1</f>
        <v>1000.1</v>
      </c>
      <c r="F403" s="4"/>
    </row>
    <row r="404" spans="5:6" x14ac:dyDescent="0.35">
      <c r="E404" s="4">
        <f>SUM($F$9:G403)+0.1</f>
        <v>1000.1</v>
      </c>
      <c r="F404" s="4"/>
    </row>
    <row r="405" spans="5:6" x14ac:dyDescent="0.35">
      <c r="E405" s="4">
        <f>SUM($F$9:G404)+0.1</f>
        <v>1000.1</v>
      </c>
      <c r="F405" s="4"/>
    </row>
    <row r="406" spans="5:6" x14ac:dyDescent="0.35">
      <c r="E406" s="4">
        <f>SUM($F$9:G405)+0.1</f>
        <v>1000.1</v>
      </c>
      <c r="F406" s="4"/>
    </row>
    <row r="407" spans="5:6" x14ac:dyDescent="0.35">
      <c r="E407" s="4">
        <f>SUM($F$9:G406)+0.1</f>
        <v>1000.1</v>
      </c>
      <c r="F407" s="4"/>
    </row>
    <row r="408" spans="5:6" x14ac:dyDescent="0.35">
      <c r="E408" s="4">
        <f>SUM($F$9:G407)+0.1</f>
        <v>1000.1</v>
      </c>
      <c r="F408" s="4"/>
    </row>
    <row r="409" spans="5:6" x14ac:dyDescent="0.35">
      <c r="E409" s="4">
        <f>SUM($F$9:G408)+0.1</f>
        <v>1000.1</v>
      </c>
      <c r="F409" s="4"/>
    </row>
    <row r="410" spans="5:6" x14ac:dyDescent="0.35">
      <c r="E410" s="4">
        <f>SUM($F$9:G409)+0.1</f>
        <v>1000.1</v>
      </c>
      <c r="F410" s="4"/>
    </row>
    <row r="411" spans="5:6" x14ac:dyDescent="0.35">
      <c r="E411" s="4">
        <f>SUM($F$9:G410)+0.1</f>
        <v>1000.1</v>
      </c>
      <c r="F411" s="4"/>
    </row>
    <row r="412" spans="5:6" x14ac:dyDescent="0.35">
      <c r="E412" s="4">
        <f>SUM($F$9:G411)+0.1</f>
        <v>1000.1</v>
      </c>
      <c r="F412" s="4"/>
    </row>
    <row r="413" spans="5:6" x14ac:dyDescent="0.35">
      <c r="E413" s="4">
        <f>SUM($F$9:G412)+0.1</f>
        <v>1000.1</v>
      </c>
      <c r="F413" s="4"/>
    </row>
    <row r="414" spans="5:6" x14ac:dyDescent="0.35">
      <c r="E414" s="4">
        <f>SUM($F$9:G413)+0.1</f>
        <v>1000.1</v>
      </c>
      <c r="F414" s="4"/>
    </row>
    <row r="415" spans="5:6" x14ac:dyDescent="0.35">
      <c r="E415" s="4">
        <f>SUM($F$9:G414)+0.1</f>
        <v>1000.1</v>
      </c>
      <c r="F415" s="4"/>
    </row>
    <row r="416" spans="5:6" x14ac:dyDescent="0.35">
      <c r="E416" s="4">
        <f>SUM($F$9:G415)+0.1</f>
        <v>1000.1</v>
      </c>
      <c r="F416" s="4"/>
    </row>
    <row r="417" spans="5:6" x14ac:dyDescent="0.35">
      <c r="E417" s="4">
        <f>SUM($F$9:G416)+0.1</f>
        <v>1000.1</v>
      </c>
      <c r="F417" s="4"/>
    </row>
    <row r="418" spans="5:6" x14ac:dyDescent="0.35">
      <c r="E418" s="4">
        <f>SUM($F$9:G417)+0.1</f>
        <v>1000.1</v>
      </c>
      <c r="F418" s="4"/>
    </row>
    <row r="419" spans="5:6" x14ac:dyDescent="0.35">
      <c r="E419" s="4">
        <f>SUM($F$9:G418)+0.1</f>
        <v>1000.1</v>
      </c>
      <c r="F419" s="4"/>
    </row>
    <row r="420" spans="5:6" x14ac:dyDescent="0.35">
      <c r="E420" s="4">
        <f>SUM($F$9:G419)+0.1</f>
        <v>1000.1</v>
      </c>
      <c r="F420" s="4"/>
    </row>
    <row r="421" spans="5:6" x14ac:dyDescent="0.35">
      <c r="E421" s="4">
        <f>SUM($F$9:G420)+0.1</f>
        <v>1000.1</v>
      </c>
      <c r="F421" s="4"/>
    </row>
    <row r="422" spans="5:6" x14ac:dyDescent="0.35">
      <c r="E422" s="4">
        <f>SUM($F$9:G421)+0.1</f>
        <v>1000.1</v>
      </c>
      <c r="F422" s="4"/>
    </row>
    <row r="423" spans="5:6" x14ac:dyDescent="0.35">
      <c r="E423" s="4">
        <f>SUM($F$9:G422)+0.1</f>
        <v>1000.1</v>
      </c>
      <c r="F423" s="4"/>
    </row>
    <row r="424" spans="5:6" x14ac:dyDescent="0.35">
      <c r="E424" s="4">
        <f>SUM($F$9:G423)+0.1</f>
        <v>1000.1</v>
      </c>
      <c r="F424" s="4"/>
    </row>
    <row r="425" spans="5:6" x14ac:dyDescent="0.35">
      <c r="E425" s="4">
        <f>SUM($F$9:G424)+0.1</f>
        <v>1000.1</v>
      </c>
      <c r="F425" s="4"/>
    </row>
    <row r="426" spans="5:6" x14ac:dyDescent="0.35">
      <c r="E426" s="4">
        <f>SUM($F$9:G425)+0.1</f>
        <v>1000.1</v>
      </c>
      <c r="F426" s="4"/>
    </row>
    <row r="427" spans="5:6" x14ac:dyDescent="0.35">
      <c r="E427" s="4">
        <f>SUM($F$9:G426)+0.1</f>
        <v>1000.1</v>
      </c>
      <c r="F427" s="4"/>
    </row>
    <row r="428" spans="5:6" x14ac:dyDescent="0.35">
      <c r="E428" s="4">
        <f>SUM($F$9:G427)+0.1</f>
        <v>1000.1</v>
      </c>
      <c r="F428" s="4"/>
    </row>
    <row r="429" spans="5:6" x14ac:dyDescent="0.35">
      <c r="E429" s="4">
        <f>SUM($F$9:G428)+0.1</f>
        <v>1000.1</v>
      </c>
      <c r="F429" s="4"/>
    </row>
    <row r="430" spans="5:6" x14ac:dyDescent="0.35">
      <c r="E430" s="4">
        <f>SUM($F$9:G429)+0.1</f>
        <v>1000.1</v>
      </c>
      <c r="F430" s="4"/>
    </row>
    <row r="431" spans="5:6" x14ac:dyDescent="0.35">
      <c r="E431" s="4">
        <f>SUM($F$9:G430)+0.1</f>
        <v>1000.1</v>
      </c>
      <c r="F431" s="4"/>
    </row>
    <row r="432" spans="5:6" x14ac:dyDescent="0.35">
      <c r="E432" s="4">
        <f>SUM($F$9:G431)+0.1</f>
        <v>1000.1</v>
      </c>
      <c r="F432" s="4"/>
    </row>
    <row r="433" spans="5:6" x14ac:dyDescent="0.35">
      <c r="E433" s="4">
        <f>SUM($F$9:G432)+0.1</f>
        <v>1000.1</v>
      </c>
      <c r="F433" s="4"/>
    </row>
    <row r="434" spans="5:6" x14ac:dyDescent="0.35">
      <c r="E434" s="4">
        <f>SUM($F$9:G433)+0.1</f>
        <v>1000.1</v>
      </c>
      <c r="F434" s="4"/>
    </row>
    <row r="435" spans="5:6" x14ac:dyDescent="0.35">
      <c r="E435" s="4">
        <f>SUM($F$9:G434)+0.1</f>
        <v>1000.1</v>
      </c>
      <c r="F435" s="4"/>
    </row>
    <row r="436" spans="5:6" x14ac:dyDescent="0.35">
      <c r="E436" s="4">
        <f>SUM($F$9:G435)+0.1</f>
        <v>1000.1</v>
      </c>
      <c r="F436" s="4"/>
    </row>
    <row r="437" spans="5:6" x14ac:dyDescent="0.35">
      <c r="E437" s="4">
        <f>SUM($F$9:G436)+0.1</f>
        <v>1000.1</v>
      </c>
      <c r="F437" s="4"/>
    </row>
    <row r="438" spans="5:6" x14ac:dyDescent="0.35">
      <c r="E438" s="4">
        <f>SUM($F$9:G437)+0.1</f>
        <v>1000.1</v>
      </c>
      <c r="F438" s="4"/>
    </row>
    <row r="439" spans="5:6" x14ac:dyDescent="0.35">
      <c r="E439" s="4">
        <f>SUM($F$9:G438)+0.1</f>
        <v>1000.1</v>
      </c>
      <c r="F439" s="4"/>
    </row>
    <row r="440" spans="5:6" x14ac:dyDescent="0.35">
      <c r="E440" s="4">
        <f>SUM($F$9:G439)+0.1</f>
        <v>1000.1</v>
      </c>
      <c r="F440" s="4"/>
    </row>
    <row r="441" spans="5:6" x14ac:dyDescent="0.35">
      <c r="E441" s="4">
        <f>SUM($F$9:G440)+0.1</f>
        <v>1000.1</v>
      </c>
      <c r="F441" s="4"/>
    </row>
    <row r="442" spans="5:6" x14ac:dyDescent="0.35">
      <c r="E442" s="4">
        <f>SUM($F$9:G441)+0.1</f>
        <v>1000.1</v>
      </c>
      <c r="F442" s="4"/>
    </row>
    <row r="443" spans="5:6" x14ac:dyDescent="0.35">
      <c r="E443" s="4">
        <f>SUM($F$9:G442)+0.1</f>
        <v>1000.1</v>
      </c>
      <c r="F443" s="4"/>
    </row>
    <row r="444" spans="5:6" x14ac:dyDescent="0.35">
      <c r="E444" s="4">
        <f>SUM($F$9:G443)+0.1</f>
        <v>1000.1</v>
      </c>
      <c r="F444" s="4"/>
    </row>
    <row r="445" spans="5:6" x14ac:dyDescent="0.35">
      <c r="E445" s="4">
        <f>SUM($F$9:G444)+0.1</f>
        <v>1000.1</v>
      </c>
      <c r="F445" s="4"/>
    </row>
    <row r="446" spans="5:6" x14ac:dyDescent="0.35">
      <c r="E446" s="4">
        <f>SUM($F$9:G445)+0.1</f>
        <v>1000.1</v>
      </c>
      <c r="F446" s="4"/>
    </row>
    <row r="447" spans="5:6" x14ac:dyDescent="0.35">
      <c r="E447" s="4">
        <f>SUM($F$9:G446)+0.1</f>
        <v>1000.1</v>
      </c>
      <c r="F447" s="4"/>
    </row>
    <row r="448" spans="5:6" x14ac:dyDescent="0.35">
      <c r="E448" s="4">
        <f>SUM($F$9:G447)+0.1</f>
        <v>1000.1</v>
      </c>
      <c r="F448" s="4"/>
    </row>
    <row r="449" spans="5:6" x14ac:dyDescent="0.35">
      <c r="E449" s="4">
        <f>SUM($F$9:G448)+0.1</f>
        <v>1000.1</v>
      </c>
      <c r="F449" s="4"/>
    </row>
    <row r="450" spans="5:6" x14ac:dyDescent="0.35">
      <c r="E450" s="4">
        <f>SUM($F$9:G449)+0.1</f>
        <v>1000.1</v>
      </c>
      <c r="F450" s="4"/>
    </row>
    <row r="451" spans="5:6" x14ac:dyDescent="0.35">
      <c r="E451" s="4">
        <f>SUM($F$9:G450)+0.1</f>
        <v>1000.1</v>
      </c>
      <c r="F451" s="4"/>
    </row>
    <row r="452" spans="5:6" x14ac:dyDescent="0.35">
      <c r="E452" s="4">
        <f>SUM($F$9:G451)+0.1</f>
        <v>1000.1</v>
      </c>
      <c r="F452" s="4"/>
    </row>
    <row r="453" spans="5:6" x14ac:dyDescent="0.35">
      <c r="E453" s="4">
        <f>SUM($F$9:G452)+0.1</f>
        <v>1000.1</v>
      </c>
      <c r="F453" s="4"/>
    </row>
    <row r="454" spans="5:6" x14ac:dyDescent="0.35">
      <c r="E454" s="4">
        <f>SUM($F$9:G453)+0.1</f>
        <v>1000.1</v>
      </c>
      <c r="F454" s="4"/>
    </row>
    <row r="455" spans="5:6" x14ac:dyDescent="0.35">
      <c r="E455" s="4">
        <f>SUM($F$9:G454)+0.1</f>
        <v>1000.1</v>
      </c>
      <c r="F455" s="4"/>
    </row>
    <row r="456" spans="5:6" x14ac:dyDescent="0.35">
      <c r="E456" s="4">
        <f>SUM($F$9:G455)+0.1</f>
        <v>1000.1</v>
      </c>
      <c r="F456" s="4"/>
    </row>
    <row r="457" spans="5:6" x14ac:dyDescent="0.35">
      <c r="E457" s="4">
        <f>SUM($F$9:G456)+0.1</f>
        <v>1000.1</v>
      </c>
      <c r="F457" s="4"/>
    </row>
    <row r="458" spans="5:6" x14ac:dyDescent="0.35">
      <c r="E458" s="4">
        <f>SUM($F$9:G457)+0.1</f>
        <v>1000.1</v>
      </c>
      <c r="F458" s="4"/>
    </row>
    <row r="459" spans="5:6" x14ac:dyDescent="0.35">
      <c r="E459" s="4">
        <f>SUM($F$9:G458)+0.1</f>
        <v>1000.1</v>
      </c>
      <c r="F459" s="4"/>
    </row>
    <row r="460" spans="5:6" x14ac:dyDescent="0.35">
      <c r="E460" s="4">
        <f>SUM($F$9:G459)+0.1</f>
        <v>1000.1</v>
      </c>
      <c r="F460" s="4"/>
    </row>
    <row r="461" spans="5:6" x14ac:dyDescent="0.35">
      <c r="E461" s="4">
        <f>SUM($F$9:G460)+0.1</f>
        <v>1000.1</v>
      </c>
      <c r="F461" s="4"/>
    </row>
    <row r="462" spans="5:6" x14ac:dyDescent="0.35">
      <c r="E462" s="4">
        <f>SUM($F$9:G461)+0.1</f>
        <v>1000.1</v>
      </c>
      <c r="F462" s="4"/>
    </row>
    <row r="463" spans="5:6" x14ac:dyDescent="0.35">
      <c r="E463" s="4">
        <f>SUM($F$9:G462)+0.1</f>
        <v>1000.1</v>
      </c>
      <c r="F463" s="4"/>
    </row>
    <row r="464" spans="5:6" x14ac:dyDescent="0.35">
      <c r="E464" s="4">
        <f>SUM($F$9:G463)+0.1</f>
        <v>1000.1</v>
      </c>
      <c r="F464" s="4"/>
    </row>
    <row r="465" spans="5:6" x14ac:dyDescent="0.35">
      <c r="E465" s="4">
        <f>SUM($F$9:G464)+0.1</f>
        <v>1000.1</v>
      </c>
      <c r="F465" s="4"/>
    </row>
    <row r="466" spans="5:6" x14ac:dyDescent="0.35">
      <c r="E466" s="4">
        <f>SUM($F$9:G465)+0.1</f>
        <v>1000.1</v>
      </c>
      <c r="F466" s="4"/>
    </row>
    <row r="467" spans="5:6" x14ac:dyDescent="0.35">
      <c r="E467" s="4">
        <f>SUM($F$9:G466)+0.1</f>
        <v>1000.1</v>
      </c>
      <c r="F467" s="4"/>
    </row>
    <row r="468" spans="5:6" x14ac:dyDescent="0.35">
      <c r="E468" s="4">
        <f>SUM($F$9:G467)+0.1</f>
        <v>1000.1</v>
      </c>
      <c r="F468" s="4"/>
    </row>
    <row r="469" spans="5:6" x14ac:dyDescent="0.35">
      <c r="E469" s="4">
        <f>SUM($F$9:G468)+0.1</f>
        <v>1000.1</v>
      </c>
      <c r="F469" s="4"/>
    </row>
    <row r="470" spans="5:6" x14ac:dyDescent="0.35">
      <c r="E470" s="4">
        <f>SUM($F$9:G469)+0.1</f>
        <v>1000.1</v>
      </c>
      <c r="F470" s="4"/>
    </row>
    <row r="471" spans="5:6" x14ac:dyDescent="0.35">
      <c r="E471" s="4">
        <f>SUM($F$9:G470)+0.1</f>
        <v>1000.1</v>
      </c>
      <c r="F471" s="4"/>
    </row>
    <row r="472" spans="5:6" x14ac:dyDescent="0.35">
      <c r="E472" s="4">
        <f>SUM($F$9:G471)+0.1</f>
        <v>1000.1</v>
      </c>
      <c r="F472" s="4"/>
    </row>
    <row r="473" spans="5:6" x14ac:dyDescent="0.35">
      <c r="E473" s="4">
        <f>SUM($F$9:G472)+0.1</f>
        <v>1000.1</v>
      </c>
      <c r="F473" s="4"/>
    </row>
    <row r="474" spans="5:6" x14ac:dyDescent="0.35">
      <c r="E474" s="4">
        <f>SUM($F$9:G473)+0.1</f>
        <v>1000.1</v>
      </c>
      <c r="F474" s="4"/>
    </row>
    <row r="475" spans="5:6" x14ac:dyDescent="0.35">
      <c r="E475" s="4">
        <f>SUM($F$9:G474)+0.1</f>
        <v>1000.1</v>
      </c>
      <c r="F475" s="4"/>
    </row>
    <row r="476" spans="5:6" x14ac:dyDescent="0.35">
      <c r="E476" s="4">
        <f>SUM($F$9:G475)+0.1</f>
        <v>1000.1</v>
      </c>
      <c r="F476" s="4"/>
    </row>
    <row r="477" spans="5:6" x14ac:dyDescent="0.35">
      <c r="E477" s="4">
        <f>SUM($F$9:G476)+0.1</f>
        <v>1000.1</v>
      </c>
      <c r="F477" s="4"/>
    </row>
    <row r="478" spans="5:6" x14ac:dyDescent="0.35">
      <c r="E478" s="4">
        <f>SUM($F$9:G477)+0.1</f>
        <v>1000.1</v>
      </c>
      <c r="F478" s="4"/>
    </row>
    <row r="479" spans="5:6" x14ac:dyDescent="0.35">
      <c r="E479" s="4">
        <f>SUM($F$9:G478)+0.1</f>
        <v>1000.1</v>
      </c>
      <c r="F479" s="4"/>
    </row>
    <row r="480" spans="5:6" x14ac:dyDescent="0.35">
      <c r="E480" s="4">
        <f>SUM($F$9:G479)+0.1</f>
        <v>1000.1</v>
      </c>
      <c r="F480" s="4"/>
    </row>
    <row r="481" spans="5:6" x14ac:dyDescent="0.35">
      <c r="E481" s="4">
        <f>SUM($F$9:G480)+0.1</f>
        <v>1000.1</v>
      </c>
      <c r="F481" s="4"/>
    </row>
    <row r="482" spans="5:6" x14ac:dyDescent="0.35">
      <c r="E482" s="4">
        <f>SUM($F$9:G481)+0.1</f>
        <v>1000.1</v>
      </c>
      <c r="F482" s="4"/>
    </row>
    <row r="483" spans="5:6" x14ac:dyDescent="0.35">
      <c r="E483" s="4">
        <f>SUM($F$9:G482)+0.1</f>
        <v>1000.1</v>
      </c>
      <c r="F483" s="4"/>
    </row>
    <row r="484" spans="5:6" x14ac:dyDescent="0.35">
      <c r="E484" s="4">
        <f>SUM($F$9:G483)+0.1</f>
        <v>1000.1</v>
      </c>
      <c r="F484" s="4"/>
    </row>
    <row r="485" spans="5:6" x14ac:dyDescent="0.35">
      <c r="E485" s="4">
        <f>SUM($F$9:G484)+0.1</f>
        <v>1000.1</v>
      </c>
      <c r="F485" s="4"/>
    </row>
    <row r="486" spans="5:6" x14ac:dyDescent="0.35">
      <c r="E486" s="4">
        <f>SUM($F$9:G485)+0.1</f>
        <v>1000.1</v>
      </c>
      <c r="F486" s="4"/>
    </row>
    <row r="487" spans="5:6" x14ac:dyDescent="0.35">
      <c r="E487" s="4">
        <f>SUM($F$9:G486)+0.1</f>
        <v>1000.1</v>
      </c>
      <c r="F487" s="4"/>
    </row>
    <row r="488" spans="5:6" x14ac:dyDescent="0.35">
      <c r="E488" s="4">
        <f>SUM($F$9:G487)+0.1</f>
        <v>1000.1</v>
      </c>
      <c r="F488" s="4"/>
    </row>
    <row r="489" spans="5:6" x14ac:dyDescent="0.35">
      <c r="E489" s="4">
        <f>SUM($F$9:G488)+0.1</f>
        <v>1000.1</v>
      </c>
      <c r="F489" s="4"/>
    </row>
    <row r="490" spans="5:6" x14ac:dyDescent="0.35">
      <c r="E490" s="4">
        <f>SUM($F$9:G489)+0.1</f>
        <v>1000.1</v>
      </c>
      <c r="F490" s="4"/>
    </row>
    <row r="491" spans="5:6" x14ac:dyDescent="0.35">
      <c r="E491" s="4">
        <f>SUM($F$9:G490)+0.1</f>
        <v>1000.1</v>
      </c>
      <c r="F491" s="4"/>
    </row>
    <row r="492" spans="5:6" x14ac:dyDescent="0.35">
      <c r="E492" s="4">
        <f>SUM($F$9:G491)+0.1</f>
        <v>1000.1</v>
      </c>
      <c r="F492" s="4"/>
    </row>
    <row r="493" spans="5:6" x14ac:dyDescent="0.35">
      <c r="E493" s="4">
        <f>SUM($F$9:G492)+0.1</f>
        <v>1000.1</v>
      </c>
      <c r="F493" s="4"/>
    </row>
    <row r="494" spans="5:6" x14ac:dyDescent="0.35">
      <c r="E494" s="4">
        <f>SUM($F$9:G493)+0.1</f>
        <v>1000.1</v>
      </c>
      <c r="F494" s="4"/>
    </row>
    <row r="495" spans="5:6" x14ac:dyDescent="0.35">
      <c r="E495" s="4">
        <f>SUM($F$9:G494)+0.1</f>
        <v>1000.1</v>
      </c>
      <c r="F495" s="4"/>
    </row>
    <row r="496" spans="5:6" x14ac:dyDescent="0.35">
      <c r="E496" s="4">
        <f>SUM($F$9:G495)+0.1</f>
        <v>1000.1</v>
      </c>
      <c r="F496" s="4"/>
    </row>
    <row r="497" spans="2:6" x14ac:dyDescent="0.35">
      <c r="E497" s="4">
        <f>SUM($F$9:G496)+0.1</f>
        <v>1000.1</v>
      </c>
      <c r="F497" s="4"/>
    </row>
    <row r="498" spans="2:6" x14ac:dyDescent="0.35">
      <c r="E498" s="4">
        <f>SUM($F$9:G497)+0.1</f>
        <v>1000.1</v>
      </c>
      <c r="F498" s="4"/>
    </row>
    <row r="499" spans="2:6" x14ac:dyDescent="0.35">
      <c r="E499" s="4">
        <f>SUM($F$9:G498)+0.1</f>
        <v>1000.1</v>
      </c>
      <c r="F499" s="4"/>
    </row>
    <row r="500" spans="2:6" x14ac:dyDescent="0.35">
      <c r="E500" s="4">
        <f>SUM($F$9:G499)+0.1</f>
        <v>1000.1</v>
      </c>
      <c r="F500" s="4"/>
    </row>
    <row r="501" spans="2:6" x14ac:dyDescent="0.35">
      <c r="E501" s="4">
        <f>SUM($F$9:G500)+0.1</f>
        <v>1000.1</v>
      </c>
      <c r="F501" s="4"/>
    </row>
    <row r="502" spans="2:6" x14ac:dyDescent="0.35">
      <c r="E502" s="4">
        <f>SUM($F$9:G501)+0.1</f>
        <v>1000.1</v>
      </c>
      <c r="F502" s="4"/>
    </row>
    <row r="503" spans="2:6" x14ac:dyDescent="0.35">
      <c r="E503" s="4">
        <f>SUM($F$9:G502)+0.1</f>
        <v>1000.1</v>
      </c>
      <c r="F503" s="4"/>
    </row>
    <row r="504" spans="2:6" x14ac:dyDescent="0.35">
      <c r="E504" s="4">
        <f>SUM($F$9:G503)+0.1</f>
        <v>1000.1</v>
      </c>
      <c r="F504" s="4"/>
    </row>
    <row r="505" spans="2:6" x14ac:dyDescent="0.35">
      <c r="E505" s="4">
        <f>SUM($F$9:G504)+0.1</f>
        <v>1000.1</v>
      </c>
      <c r="F505" s="4"/>
    </row>
    <row r="506" spans="2:6" x14ac:dyDescent="0.35">
      <c r="E506" s="4">
        <f>SUM($F$9:G505)+0.1</f>
        <v>1000.1</v>
      </c>
      <c r="F506" s="4"/>
    </row>
    <row r="507" spans="2:6" x14ac:dyDescent="0.35">
      <c r="E507" s="4">
        <f>SUM($F$9:G506)+0.1</f>
        <v>1000.1</v>
      </c>
      <c r="F507" s="4"/>
    </row>
    <row r="508" spans="2:6" x14ac:dyDescent="0.35">
      <c r="B508" s="3"/>
      <c r="E508" s="4">
        <f>SUM($F$9:G507)+0.1</f>
        <v>1000.1</v>
      </c>
      <c r="F508" s="4"/>
    </row>
    <row r="509" spans="2:6" x14ac:dyDescent="0.35">
      <c r="E509" s="4">
        <f>SUM($F$9:G508)+0.1</f>
        <v>1000.1</v>
      </c>
      <c r="F509" s="4"/>
    </row>
    <row r="510" spans="2:6" x14ac:dyDescent="0.35">
      <c r="E510" s="4">
        <f>SUM($F$9:G509)+0.1</f>
        <v>1000.1</v>
      </c>
      <c r="F510" s="4"/>
    </row>
    <row r="511" spans="2:6" x14ac:dyDescent="0.35">
      <c r="E511" s="4">
        <f>SUM($F$9:G510)+0.1</f>
        <v>1000.1</v>
      </c>
      <c r="F511" s="4"/>
    </row>
    <row r="512" spans="2:6" x14ac:dyDescent="0.35">
      <c r="E512" s="4">
        <f>SUM($F$9:G511)+0.1</f>
        <v>1000.1</v>
      </c>
      <c r="F512" s="4"/>
    </row>
    <row r="513" spans="5:6" x14ac:dyDescent="0.35">
      <c r="E513" s="4">
        <f>SUM($F$9:G512)+0.1</f>
        <v>1000.1</v>
      </c>
      <c r="F513" s="4"/>
    </row>
    <row r="514" spans="5:6" x14ac:dyDescent="0.35">
      <c r="E514" s="4">
        <f>SUM($F$9:G513)+0.1</f>
        <v>1000.1</v>
      </c>
      <c r="F514" s="4"/>
    </row>
    <row r="515" spans="5:6" x14ac:dyDescent="0.35">
      <c r="E515" s="4">
        <f>SUM($F$9:G514)+0.1</f>
        <v>1000.1</v>
      </c>
      <c r="F515" s="4"/>
    </row>
    <row r="516" spans="5:6" x14ac:dyDescent="0.35">
      <c r="E516" s="4">
        <f>SUM($F$9:G515)+0.1</f>
        <v>1000.1</v>
      </c>
      <c r="F516" s="4"/>
    </row>
    <row r="517" spans="5:6" x14ac:dyDescent="0.35">
      <c r="E517" s="4">
        <f>SUM($F$9:G516)+0.1</f>
        <v>1000.1</v>
      </c>
      <c r="F517" s="4"/>
    </row>
    <row r="518" spans="5:6" x14ac:dyDescent="0.35">
      <c r="E518" s="4">
        <f>SUM($F$9:G517)+0.1</f>
        <v>1000.1</v>
      </c>
      <c r="F518" s="4"/>
    </row>
    <row r="519" spans="5:6" x14ac:dyDescent="0.35">
      <c r="E519" s="4">
        <f>SUM($F$9:G518)+0.1</f>
        <v>1000.1</v>
      </c>
      <c r="F519" s="4"/>
    </row>
    <row r="520" spans="5:6" x14ac:dyDescent="0.35">
      <c r="E520" s="4">
        <f>SUM($F$9:G519)+0.1</f>
        <v>1000.1</v>
      </c>
      <c r="F520" s="4"/>
    </row>
    <row r="521" spans="5:6" x14ac:dyDescent="0.35">
      <c r="E521" s="4">
        <f>SUM($F$9:G520)+0.1</f>
        <v>1000.1</v>
      </c>
      <c r="F521" s="4"/>
    </row>
    <row r="522" spans="5:6" x14ac:dyDescent="0.35">
      <c r="E522" s="4">
        <f>SUM($F$9:G521)+0.1</f>
        <v>1000.1</v>
      </c>
      <c r="F522" s="4"/>
    </row>
    <row r="523" spans="5:6" x14ac:dyDescent="0.35">
      <c r="E523" s="4">
        <f>SUM($F$9:G522)+0.1</f>
        <v>1000.1</v>
      </c>
      <c r="F523" s="4"/>
    </row>
    <row r="524" spans="5:6" x14ac:dyDescent="0.35">
      <c r="E524" s="4">
        <f>SUM($F$9:G523)+0.1</f>
        <v>1000.1</v>
      </c>
      <c r="F524" s="4"/>
    </row>
    <row r="525" spans="5:6" x14ac:dyDescent="0.35">
      <c r="E525" s="4">
        <f>SUM($F$9:G524)+0.1</f>
        <v>1000.1</v>
      </c>
      <c r="F525" s="4"/>
    </row>
    <row r="526" spans="5:6" x14ac:dyDescent="0.35">
      <c r="E526" s="4">
        <f>SUM($F$9:G525)+0.1</f>
        <v>1000.1</v>
      </c>
      <c r="F526" s="4"/>
    </row>
    <row r="527" spans="5:6" x14ac:dyDescent="0.35">
      <c r="E527" s="4">
        <f>SUM($F$9:G526)+0.1</f>
        <v>1000.1</v>
      </c>
      <c r="F527" s="4"/>
    </row>
    <row r="528" spans="5:6" x14ac:dyDescent="0.35">
      <c r="E528" s="4">
        <f>SUM($F$9:G527)+0.1</f>
        <v>1000.1</v>
      </c>
      <c r="F528" s="4"/>
    </row>
    <row r="529" spans="5:6" x14ac:dyDescent="0.35">
      <c r="E529" s="4">
        <f>SUM($F$9:G528)+0.1</f>
        <v>1000.1</v>
      </c>
      <c r="F529" s="4"/>
    </row>
    <row r="530" spans="5:6" x14ac:dyDescent="0.35">
      <c r="E530" s="4">
        <f>SUM($F$9:G529)+0.1</f>
        <v>1000.1</v>
      </c>
      <c r="F530" s="4"/>
    </row>
    <row r="531" spans="5:6" x14ac:dyDescent="0.35">
      <c r="E531" s="4">
        <f>SUM($F$9:G530)+0.1</f>
        <v>1000.1</v>
      </c>
      <c r="F531" s="4"/>
    </row>
    <row r="532" spans="5:6" x14ac:dyDescent="0.35">
      <c r="E532" s="4">
        <f>SUM($F$9:G531)+0.1</f>
        <v>1000.1</v>
      </c>
      <c r="F532" s="4"/>
    </row>
    <row r="533" spans="5:6" x14ac:dyDescent="0.35">
      <c r="E533" s="4">
        <f>SUM($F$9:G532)+0.1</f>
        <v>1000.1</v>
      </c>
      <c r="F533" s="4"/>
    </row>
    <row r="534" spans="5:6" x14ac:dyDescent="0.35">
      <c r="E534" s="4">
        <f>SUM($F$9:G533)+0.1</f>
        <v>1000.1</v>
      </c>
      <c r="F534" s="4"/>
    </row>
    <row r="535" spans="5:6" x14ac:dyDescent="0.35">
      <c r="E535" s="4">
        <f>SUM($F$9:G534)+0.1</f>
        <v>1000.1</v>
      </c>
      <c r="F535" s="4"/>
    </row>
    <row r="536" spans="5:6" x14ac:dyDescent="0.35">
      <c r="E536" s="4">
        <f>SUM($F$9:G535)+0.1</f>
        <v>1000.1</v>
      </c>
      <c r="F536" s="4"/>
    </row>
    <row r="537" spans="5:6" x14ac:dyDescent="0.35">
      <c r="E537" s="4">
        <f>SUM($F$9:G536)+0.1</f>
        <v>1000.1</v>
      </c>
      <c r="F537" s="4"/>
    </row>
    <row r="538" spans="5:6" x14ac:dyDescent="0.35">
      <c r="E538" s="4">
        <f>SUM($F$9:G537)+0.1</f>
        <v>1000.1</v>
      </c>
      <c r="F538" s="4"/>
    </row>
    <row r="539" spans="5:6" x14ac:dyDescent="0.35">
      <c r="E539" s="4">
        <f>SUM($F$9:G538)+0.1</f>
        <v>1000.1</v>
      </c>
      <c r="F539" s="4"/>
    </row>
    <row r="540" spans="5:6" x14ac:dyDescent="0.35">
      <c r="E540" s="4">
        <f>SUM($F$9:G539)+0.1</f>
        <v>1000.1</v>
      </c>
      <c r="F540" s="4"/>
    </row>
    <row r="541" spans="5:6" x14ac:dyDescent="0.35">
      <c r="E541" s="4">
        <f>SUM($F$9:G540)+0.1</f>
        <v>1000.1</v>
      </c>
      <c r="F541" s="4"/>
    </row>
    <row r="542" spans="5:6" x14ac:dyDescent="0.35">
      <c r="E542" s="4">
        <f>SUM($F$9:G541)+0.1</f>
        <v>1000.1</v>
      </c>
      <c r="F542" s="4"/>
    </row>
    <row r="543" spans="5:6" x14ac:dyDescent="0.35">
      <c r="E543" s="4">
        <f>SUM($F$9:G542)+0.1</f>
        <v>1000.1</v>
      </c>
      <c r="F543" s="4"/>
    </row>
    <row r="544" spans="5:6" x14ac:dyDescent="0.35">
      <c r="E544" s="4">
        <f>SUM($F$9:G543)+0.1</f>
        <v>1000.1</v>
      </c>
      <c r="F544" s="4"/>
    </row>
    <row r="545" spans="5:6" x14ac:dyDescent="0.35">
      <c r="E545" s="4">
        <f>SUM($F$9:G544)+0.1</f>
        <v>1000.1</v>
      </c>
      <c r="F545" s="4"/>
    </row>
    <row r="546" spans="5:6" x14ac:dyDescent="0.35">
      <c r="E546" s="4">
        <f>SUM($F$9:G545)+0.1</f>
        <v>1000.1</v>
      </c>
      <c r="F546" s="4"/>
    </row>
    <row r="547" spans="5:6" x14ac:dyDescent="0.35">
      <c r="E547" s="4">
        <f>SUM($F$9:G546)+0.1</f>
        <v>1000.1</v>
      </c>
      <c r="F547" s="4"/>
    </row>
    <row r="548" spans="5:6" x14ac:dyDescent="0.35">
      <c r="E548" s="4">
        <f>SUM($F$9:G547)+0.1</f>
        <v>1000.1</v>
      </c>
      <c r="F548" s="4"/>
    </row>
    <row r="549" spans="5:6" x14ac:dyDescent="0.35">
      <c r="E549" s="4">
        <f>SUM($F$9:G548)+0.1</f>
        <v>1000.1</v>
      </c>
      <c r="F549" s="4"/>
    </row>
    <row r="550" spans="5:6" x14ac:dyDescent="0.35">
      <c r="E550" s="4">
        <f>SUM($F$9:G549)+0.1</f>
        <v>1000.1</v>
      </c>
      <c r="F550" s="4"/>
    </row>
    <row r="551" spans="5:6" x14ac:dyDescent="0.35">
      <c r="E551" s="4">
        <f>SUM($F$9:G550)+0.1</f>
        <v>1000.1</v>
      </c>
      <c r="F551" s="4"/>
    </row>
    <row r="552" spans="5:6" x14ac:dyDescent="0.35">
      <c r="E552" s="4">
        <f>SUM($F$9:G551)+0.1</f>
        <v>1000.1</v>
      </c>
      <c r="F552" s="4"/>
    </row>
    <row r="553" spans="5:6" x14ac:dyDescent="0.35">
      <c r="E553" s="4">
        <f>SUM($F$9:G552)+0.1</f>
        <v>1000.1</v>
      </c>
      <c r="F553" s="4"/>
    </row>
    <row r="554" spans="5:6" x14ac:dyDescent="0.35">
      <c r="E554" s="4">
        <f>SUM($F$9:G553)+0.1</f>
        <v>1000.1</v>
      </c>
      <c r="F554" s="4"/>
    </row>
    <row r="555" spans="5:6" x14ac:dyDescent="0.35">
      <c r="E555" s="4">
        <f>SUM($F$9:G554)+0.1</f>
        <v>1000.1</v>
      </c>
      <c r="F555" s="4"/>
    </row>
    <row r="556" spans="5:6" x14ac:dyDescent="0.35">
      <c r="E556" s="4">
        <f>SUM($F$9:G555)+0.1</f>
        <v>1000.1</v>
      </c>
      <c r="F556" s="4"/>
    </row>
    <row r="557" spans="5:6" x14ac:dyDescent="0.35">
      <c r="E557" s="4">
        <f>SUM($F$9:G556)+0.1</f>
        <v>1000.1</v>
      </c>
      <c r="F557" s="4"/>
    </row>
    <row r="558" spans="5:6" x14ac:dyDescent="0.35">
      <c r="E558" s="4">
        <f>SUM($F$9:G557)+0.1</f>
        <v>1000.1</v>
      </c>
      <c r="F558" s="4"/>
    </row>
    <row r="559" spans="5:6" x14ac:dyDescent="0.35">
      <c r="E559" s="4">
        <f>SUM($F$9:G558)+0.1</f>
        <v>1000.1</v>
      </c>
      <c r="F559" s="4"/>
    </row>
    <row r="560" spans="5:6" x14ac:dyDescent="0.35">
      <c r="E560" s="4">
        <f>SUM($F$9:G559)+0.1</f>
        <v>1000.1</v>
      </c>
      <c r="F560" s="4"/>
    </row>
    <row r="561" spans="5:6" x14ac:dyDescent="0.35">
      <c r="E561" s="4">
        <f>SUM($F$9:G560)+0.1</f>
        <v>1000.1</v>
      </c>
      <c r="F561" s="4"/>
    </row>
    <row r="562" spans="5:6" x14ac:dyDescent="0.35">
      <c r="E562" s="4">
        <f>SUM($F$9:G561)+0.1</f>
        <v>1000.1</v>
      </c>
      <c r="F562" s="4"/>
    </row>
    <row r="563" spans="5:6" x14ac:dyDescent="0.35">
      <c r="E563" s="4">
        <f>SUM($F$9:G562)+0.1</f>
        <v>1000.1</v>
      </c>
      <c r="F563" s="4"/>
    </row>
    <row r="564" spans="5:6" x14ac:dyDescent="0.35">
      <c r="E564" s="4">
        <f>SUM($F$9:G563)+0.1</f>
        <v>1000.1</v>
      </c>
      <c r="F564" s="4"/>
    </row>
    <row r="565" spans="5:6" x14ac:dyDescent="0.35">
      <c r="E565" s="4">
        <f>SUM($F$9:G564)+0.1</f>
        <v>1000.1</v>
      </c>
      <c r="F565" s="4"/>
    </row>
    <row r="566" spans="5:6" x14ac:dyDescent="0.35">
      <c r="E566" s="4">
        <f>SUM($F$9:G565)+0.1</f>
        <v>1000.1</v>
      </c>
      <c r="F566" s="4"/>
    </row>
    <row r="567" spans="5:6" x14ac:dyDescent="0.35">
      <c r="E567" s="4">
        <f>SUM($F$9:G566)+0.1</f>
        <v>1000.1</v>
      </c>
      <c r="F567" s="4"/>
    </row>
    <row r="568" spans="5:6" x14ac:dyDescent="0.35">
      <c r="E568" s="4">
        <f>SUM($F$9:G567)+0.1</f>
        <v>1000.1</v>
      </c>
      <c r="F568" s="4"/>
    </row>
    <row r="569" spans="5:6" x14ac:dyDescent="0.35">
      <c r="E569" s="4">
        <f>SUM($F$9:G568)+0.1</f>
        <v>1000.1</v>
      </c>
      <c r="F569" s="4"/>
    </row>
    <row r="570" spans="5:6" x14ac:dyDescent="0.35">
      <c r="E570" s="4">
        <f>SUM($F$9:G569)+0.1</f>
        <v>1000.1</v>
      </c>
      <c r="F570" s="4"/>
    </row>
    <row r="571" spans="5:6" x14ac:dyDescent="0.35">
      <c r="E571" s="4">
        <f>SUM($F$9:G570)+0.1</f>
        <v>1000.1</v>
      </c>
      <c r="F571" s="4"/>
    </row>
    <row r="572" spans="5:6" x14ac:dyDescent="0.35">
      <c r="E572" s="4">
        <f>SUM($F$9:G571)+0.1</f>
        <v>1000.1</v>
      </c>
      <c r="F572" s="4"/>
    </row>
    <row r="573" spans="5:6" x14ac:dyDescent="0.35">
      <c r="E573" s="4">
        <f>SUM($F$9:G572)+0.1</f>
        <v>1000.1</v>
      </c>
      <c r="F573" s="4"/>
    </row>
    <row r="574" spans="5:6" x14ac:dyDescent="0.35">
      <c r="E574" s="4">
        <f>SUM($F$9:G573)+0.1</f>
        <v>1000.1</v>
      </c>
      <c r="F574" s="4"/>
    </row>
    <row r="575" spans="5:6" x14ac:dyDescent="0.35">
      <c r="E575" s="4">
        <f>SUM($F$9:G574)+0.1</f>
        <v>1000.1</v>
      </c>
      <c r="F575" s="4"/>
    </row>
    <row r="576" spans="5:6" x14ac:dyDescent="0.35">
      <c r="E576" s="4">
        <f>SUM($F$9:G575)+0.1</f>
        <v>1000.1</v>
      </c>
      <c r="F576" s="4"/>
    </row>
    <row r="577" spans="5:6" x14ac:dyDescent="0.35">
      <c r="E577" s="4">
        <f>SUM($F$9:G576)+0.1</f>
        <v>1000.1</v>
      </c>
      <c r="F577" s="4"/>
    </row>
    <row r="578" spans="5:6" x14ac:dyDescent="0.35">
      <c r="E578" s="4">
        <f>SUM($F$9:G577)+0.1</f>
        <v>1000.1</v>
      </c>
      <c r="F578" s="4"/>
    </row>
    <row r="579" spans="5:6" x14ac:dyDescent="0.35">
      <c r="E579" s="4">
        <f>SUM($F$9:G578)+0.1</f>
        <v>1000.1</v>
      </c>
      <c r="F579" s="4"/>
    </row>
    <row r="580" spans="5:6" x14ac:dyDescent="0.35">
      <c r="E580" s="4">
        <f>SUM($F$9:G579)+0.1</f>
        <v>1000.1</v>
      </c>
      <c r="F580" s="4"/>
    </row>
    <row r="581" spans="5:6" x14ac:dyDescent="0.35">
      <c r="E581" s="4">
        <f>SUM($F$9:G580)+0.1</f>
        <v>1000.1</v>
      </c>
      <c r="F581" s="4"/>
    </row>
    <row r="582" spans="5:6" x14ac:dyDescent="0.35">
      <c r="E582" s="4">
        <f>SUM($F$9:G581)+0.1</f>
        <v>1000.1</v>
      </c>
      <c r="F582" s="4"/>
    </row>
    <row r="583" spans="5:6" x14ac:dyDescent="0.35">
      <c r="E583" s="4">
        <f>SUM($F$9:G582)+0.1</f>
        <v>1000.1</v>
      </c>
      <c r="F583" s="4"/>
    </row>
    <row r="584" spans="5:6" x14ac:dyDescent="0.35">
      <c r="E584" s="4">
        <f>SUM($F$9:G583)+0.1</f>
        <v>1000.1</v>
      </c>
      <c r="F584" s="4"/>
    </row>
    <row r="585" spans="5:6" x14ac:dyDescent="0.35">
      <c r="E585" s="4">
        <f>SUM($F$9:G584)+0.1</f>
        <v>1000.1</v>
      </c>
      <c r="F585" s="4"/>
    </row>
    <row r="586" spans="5:6" x14ac:dyDescent="0.35">
      <c r="E586" s="4">
        <f>SUM($F$9:G585)+0.1</f>
        <v>1000.1</v>
      </c>
      <c r="F586" s="4"/>
    </row>
    <row r="587" spans="5:6" x14ac:dyDescent="0.35">
      <c r="E587" s="4">
        <f>SUM($F$9:G586)+0.1</f>
        <v>1000.1</v>
      </c>
      <c r="F587" s="4"/>
    </row>
    <row r="588" spans="5:6" x14ac:dyDescent="0.35">
      <c r="E588" s="4">
        <f>SUM($F$9:G587)+0.1</f>
        <v>1000.1</v>
      </c>
      <c r="F588" s="4"/>
    </row>
    <row r="589" spans="5:6" x14ac:dyDescent="0.35">
      <c r="E589" s="4">
        <f>SUM($F$9:G588)+0.1</f>
        <v>1000.1</v>
      </c>
      <c r="F589" s="4"/>
    </row>
    <row r="590" spans="5:6" x14ac:dyDescent="0.35">
      <c r="E590" s="4">
        <f>SUM($F$9:G589)+0.1</f>
        <v>1000.1</v>
      </c>
      <c r="F590" s="4"/>
    </row>
    <row r="591" spans="5:6" x14ac:dyDescent="0.35">
      <c r="E591" s="4">
        <f>SUM($F$9:G590)+0.1</f>
        <v>1000.1</v>
      </c>
      <c r="F591" s="4"/>
    </row>
    <row r="592" spans="5:6" x14ac:dyDescent="0.35">
      <c r="E592" s="4">
        <f>SUM($F$9:G591)+0.1</f>
        <v>1000.1</v>
      </c>
      <c r="F592" s="4"/>
    </row>
    <row r="593" spans="5:6" x14ac:dyDescent="0.35">
      <c r="E593" s="4">
        <f>SUM($F$9:G592)+0.1</f>
        <v>1000.1</v>
      </c>
      <c r="F593" s="4"/>
    </row>
    <row r="594" spans="5:6" x14ac:dyDescent="0.35">
      <c r="E594" s="4">
        <f>SUM($F$9:G593)+0.1</f>
        <v>1000.1</v>
      </c>
      <c r="F594" s="4"/>
    </row>
    <row r="595" spans="5:6" x14ac:dyDescent="0.35">
      <c r="E595" s="4">
        <f>SUM($F$9:G594)+0.1</f>
        <v>1000.1</v>
      </c>
      <c r="F595" s="4"/>
    </row>
    <row r="596" spans="5:6" x14ac:dyDescent="0.35">
      <c r="E596" s="4">
        <f>SUM($F$9:G595)+0.1</f>
        <v>1000.1</v>
      </c>
      <c r="F596" s="4"/>
    </row>
    <row r="597" spans="5:6" x14ac:dyDescent="0.35">
      <c r="E597" s="4">
        <f>SUM($F$9:G596)+0.1</f>
        <v>1000.1</v>
      </c>
      <c r="F597" s="4"/>
    </row>
    <row r="598" spans="5:6" x14ac:dyDescent="0.35">
      <c r="E598" s="4">
        <f>SUM($F$9:G597)+0.1</f>
        <v>1000.1</v>
      </c>
      <c r="F598" s="4"/>
    </row>
    <row r="599" spans="5:6" x14ac:dyDescent="0.35">
      <c r="E599" s="4">
        <f>SUM($F$9:G598)+0.1</f>
        <v>1000.1</v>
      </c>
      <c r="F599" s="4"/>
    </row>
    <row r="600" spans="5:6" x14ac:dyDescent="0.35">
      <c r="E600" s="4">
        <f>SUM($F$9:G599)+0.1</f>
        <v>1000.1</v>
      </c>
      <c r="F600" s="4"/>
    </row>
    <row r="601" spans="5:6" x14ac:dyDescent="0.35">
      <c r="E601" s="4">
        <f>SUM($F$9:G600)+0.1</f>
        <v>1000.1</v>
      </c>
      <c r="F601" s="4"/>
    </row>
    <row r="602" spans="5:6" x14ac:dyDescent="0.35">
      <c r="E602" s="4">
        <f>SUM($F$9:G601)+0.1</f>
        <v>1000.1</v>
      </c>
      <c r="F602" s="4"/>
    </row>
    <row r="603" spans="5:6" x14ac:dyDescent="0.35">
      <c r="E603" s="4">
        <f>SUM($F$9:G602)+0.1</f>
        <v>1000.1</v>
      </c>
      <c r="F603" s="4"/>
    </row>
    <row r="604" spans="5:6" x14ac:dyDescent="0.35">
      <c r="E604" s="4">
        <f>SUM($F$9:G603)+0.1</f>
        <v>1000.1</v>
      </c>
      <c r="F604" s="4"/>
    </row>
    <row r="605" spans="5:6" x14ac:dyDescent="0.35">
      <c r="E605" s="4">
        <f>SUM($F$9:G604)+0.1</f>
        <v>1000.1</v>
      </c>
      <c r="F605" s="4"/>
    </row>
    <row r="606" spans="5:6" x14ac:dyDescent="0.35">
      <c r="E606" s="4">
        <f>SUM($F$9:G605)+0.1</f>
        <v>1000.1</v>
      </c>
      <c r="F606" s="4"/>
    </row>
    <row r="607" spans="5:6" x14ac:dyDescent="0.35">
      <c r="E607" s="4">
        <f>SUM($F$9:G606)+0.1</f>
        <v>1000.1</v>
      </c>
      <c r="F607" s="4"/>
    </row>
    <row r="608" spans="5:6" x14ac:dyDescent="0.35">
      <c r="E608" s="4">
        <f>SUM($F$9:G607)+0.1</f>
        <v>1000.1</v>
      </c>
      <c r="F608" s="4"/>
    </row>
    <row r="609" spans="5:6" x14ac:dyDescent="0.35">
      <c r="E609" s="4">
        <f>SUM($F$9:G608)+0.1</f>
        <v>1000.1</v>
      </c>
      <c r="F609" s="4"/>
    </row>
    <row r="610" spans="5:6" x14ac:dyDescent="0.35">
      <c r="E610" s="4">
        <f>SUM($F$9:G609)+0.1</f>
        <v>1000.1</v>
      </c>
      <c r="F610" s="4"/>
    </row>
    <row r="611" spans="5:6" x14ac:dyDescent="0.35">
      <c r="E611" s="4">
        <f>SUM($F$9:G610)+0.1</f>
        <v>1000.1</v>
      </c>
      <c r="F611" s="4"/>
    </row>
    <row r="612" spans="5:6" x14ac:dyDescent="0.35">
      <c r="E612" s="4">
        <f>SUM($F$9:G611)+0.1</f>
        <v>1000.1</v>
      </c>
      <c r="F612" s="4"/>
    </row>
    <row r="613" spans="5:6" x14ac:dyDescent="0.35">
      <c r="E613" s="4">
        <f>SUM($F$9:G612)+0.1</f>
        <v>1000.1</v>
      </c>
      <c r="F613" s="4"/>
    </row>
    <row r="614" spans="5:6" x14ac:dyDescent="0.35">
      <c r="E614" s="4">
        <f>SUM($F$9:G613)+0.1</f>
        <v>1000.1</v>
      </c>
      <c r="F614" s="4"/>
    </row>
    <row r="615" spans="5:6" x14ac:dyDescent="0.35">
      <c r="E615" s="4">
        <f>SUM($F$9:G614)+0.1</f>
        <v>1000.1</v>
      </c>
      <c r="F615" s="4"/>
    </row>
    <row r="616" spans="5:6" x14ac:dyDescent="0.35">
      <c r="E616" s="4">
        <f>SUM($F$9:G615)+0.1</f>
        <v>1000.1</v>
      </c>
      <c r="F616" s="4"/>
    </row>
    <row r="617" spans="5:6" x14ac:dyDescent="0.35">
      <c r="E617" s="4">
        <f>SUM($F$9:G616)+0.1</f>
        <v>1000.1</v>
      </c>
      <c r="F617" s="4"/>
    </row>
    <row r="618" spans="5:6" x14ac:dyDescent="0.35">
      <c r="E618" s="4">
        <f>SUM($F$9:G617)+0.1</f>
        <v>1000.1</v>
      </c>
      <c r="F618" s="4"/>
    </row>
    <row r="619" spans="5:6" x14ac:dyDescent="0.35">
      <c r="E619" s="4">
        <f>SUM($F$9:G618)+0.1</f>
        <v>1000.1</v>
      </c>
      <c r="F619" s="4"/>
    </row>
    <row r="620" spans="5:6" x14ac:dyDescent="0.35">
      <c r="E620" s="4">
        <f>SUM($F$9:G619)+0.1</f>
        <v>1000.1</v>
      </c>
      <c r="F620" s="4"/>
    </row>
    <row r="621" spans="5:6" x14ac:dyDescent="0.35">
      <c r="E621" s="4">
        <f>SUM($F$9:G620)+0.1</f>
        <v>1000.1</v>
      </c>
      <c r="F621" s="4"/>
    </row>
    <row r="622" spans="5:6" x14ac:dyDescent="0.35">
      <c r="E622" s="4">
        <f>SUM($F$9:G621)+0.1</f>
        <v>1000.1</v>
      </c>
      <c r="F622" s="4"/>
    </row>
    <row r="623" spans="5:6" x14ac:dyDescent="0.35">
      <c r="E623" s="4">
        <f>SUM($F$9:G622)+0.1</f>
        <v>1000.1</v>
      </c>
      <c r="F623" s="4"/>
    </row>
    <row r="624" spans="5:6" x14ac:dyDescent="0.35">
      <c r="E624" s="4">
        <f>SUM($F$9:G623)+0.1</f>
        <v>1000.1</v>
      </c>
      <c r="F624" s="4"/>
    </row>
    <row r="625" spans="5:6" x14ac:dyDescent="0.35">
      <c r="E625" s="4">
        <f>SUM($F$9:G624)+0.1</f>
        <v>1000.1</v>
      </c>
      <c r="F625" s="4"/>
    </row>
    <row r="626" spans="5:6" x14ac:dyDescent="0.35">
      <c r="E626" s="4">
        <f>SUM($F$9:G625)+0.1</f>
        <v>1000.1</v>
      </c>
      <c r="F626" s="4"/>
    </row>
    <row r="627" spans="5:6" x14ac:dyDescent="0.35">
      <c r="E627" s="4">
        <f>SUM($F$9:G626)+0.1</f>
        <v>1000.1</v>
      </c>
      <c r="F627" s="4"/>
    </row>
    <row r="628" spans="5:6" x14ac:dyDescent="0.35">
      <c r="E628" s="4">
        <f>SUM($F$9:G627)+0.1</f>
        <v>1000.1</v>
      </c>
      <c r="F628" s="4"/>
    </row>
    <row r="629" spans="5:6" x14ac:dyDescent="0.35">
      <c r="E629" s="4">
        <f>SUM($F$9:G628)+0.1</f>
        <v>1000.1</v>
      </c>
      <c r="F629" s="4"/>
    </row>
    <row r="630" spans="5:6" x14ac:dyDescent="0.35">
      <c r="E630" s="4">
        <f>SUM($F$9:G629)+0.1</f>
        <v>1000.1</v>
      </c>
      <c r="F630" s="4"/>
    </row>
    <row r="631" spans="5:6" x14ac:dyDescent="0.35">
      <c r="E631" s="4">
        <f>SUM($F$9:G630)+0.1</f>
        <v>1000.1</v>
      </c>
      <c r="F631" s="4"/>
    </row>
    <row r="632" spans="5:6" x14ac:dyDescent="0.35">
      <c r="E632" s="4">
        <f>SUM($F$9:G631)+0.1</f>
        <v>1000.1</v>
      </c>
      <c r="F632" s="4"/>
    </row>
    <row r="633" spans="5:6" x14ac:dyDescent="0.35">
      <c r="E633" s="4">
        <f>SUM($F$9:G632)+0.1</f>
        <v>1000.1</v>
      </c>
      <c r="F633" s="4"/>
    </row>
    <row r="634" spans="5:6" x14ac:dyDescent="0.35">
      <c r="E634" s="4">
        <f>SUM($F$9:G633)+0.1</f>
        <v>1000.1</v>
      </c>
      <c r="F634" s="4"/>
    </row>
    <row r="635" spans="5:6" x14ac:dyDescent="0.35">
      <c r="E635" s="4">
        <f>SUM($F$9:G634)+0.1</f>
        <v>1000.1</v>
      </c>
      <c r="F635" s="4"/>
    </row>
    <row r="636" spans="5:6" x14ac:dyDescent="0.35">
      <c r="E636" s="4">
        <f>SUM($F$9:G635)+0.1</f>
        <v>1000.1</v>
      </c>
      <c r="F636" s="4"/>
    </row>
    <row r="637" spans="5:6" x14ac:dyDescent="0.35">
      <c r="E637" s="4">
        <f>SUM($F$9:G636)+0.1</f>
        <v>1000.1</v>
      </c>
      <c r="F637" s="4"/>
    </row>
    <row r="638" spans="5:6" x14ac:dyDescent="0.35">
      <c r="E638" s="4">
        <f>SUM($F$9:G637)+0.1</f>
        <v>1000.1</v>
      </c>
      <c r="F638" s="4"/>
    </row>
    <row r="639" spans="5:6" x14ac:dyDescent="0.35">
      <c r="E639" s="4">
        <f>SUM($F$9:G638)+0.1</f>
        <v>1000.1</v>
      </c>
      <c r="F639" s="4"/>
    </row>
    <row r="640" spans="5:6" x14ac:dyDescent="0.35">
      <c r="E640" s="4">
        <f>SUM($F$9:G639)+0.1</f>
        <v>1000.1</v>
      </c>
      <c r="F640" s="4"/>
    </row>
    <row r="641" spans="5:6" x14ac:dyDescent="0.35">
      <c r="E641" s="4">
        <f>SUM($F$9:G640)+0.1</f>
        <v>1000.1</v>
      </c>
      <c r="F641" s="4"/>
    </row>
    <row r="642" spans="5:6" x14ac:dyDescent="0.35">
      <c r="E642" s="4">
        <f>SUM($F$9:G641)+0.1</f>
        <v>1000.1</v>
      </c>
      <c r="F642" s="4"/>
    </row>
    <row r="643" spans="5:6" x14ac:dyDescent="0.35">
      <c r="E643" s="4">
        <f>SUM($F$9:G642)+0.1</f>
        <v>1000.1</v>
      </c>
      <c r="F643" s="4"/>
    </row>
    <row r="644" spans="5:6" x14ac:dyDescent="0.35">
      <c r="E644" s="4">
        <f>SUM($F$9:G643)+0.1</f>
        <v>1000.1</v>
      </c>
      <c r="F644" s="4"/>
    </row>
    <row r="645" spans="5:6" x14ac:dyDescent="0.35">
      <c r="E645" s="4">
        <f>SUM($F$9:G644)+0.1</f>
        <v>1000.1</v>
      </c>
      <c r="F645" s="4"/>
    </row>
    <row r="646" spans="5:6" x14ac:dyDescent="0.35">
      <c r="E646" s="4">
        <f>SUM($F$9:G645)+0.1</f>
        <v>1000.1</v>
      </c>
      <c r="F646" s="4"/>
    </row>
    <row r="647" spans="5:6" x14ac:dyDescent="0.35">
      <c r="E647" s="4">
        <f>SUM($F$9:G646)+0.1</f>
        <v>1000.1</v>
      </c>
      <c r="F647" s="4"/>
    </row>
    <row r="648" spans="5:6" x14ac:dyDescent="0.35">
      <c r="E648" s="4">
        <f>SUM($F$9:G647)+0.1</f>
        <v>1000.1</v>
      </c>
      <c r="F648" s="4"/>
    </row>
    <row r="649" spans="5:6" x14ac:dyDescent="0.35">
      <c r="E649" s="4">
        <f>SUM($F$9:G648)+0.1</f>
        <v>1000.1</v>
      </c>
      <c r="F649" s="4"/>
    </row>
    <row r="650" spans="5:6" x14ac:dyDescent="0.35">
      <c r="E650" s="4">
        <f>SUM($F$9:G649)+0.1</f>
        <v>1000.1</v>
      </c>
      <c r="F650" s="4"/>
    </row>
    <row r="651" spans="5:6" x14ac:dyDescent="0.35">
      <c r="E651" s="4">
        <f>SUM($F$9:G650)+0.1</f>
        <v>1000.1</v>
      </c>
      <c r="F651" s="4"/>
    </row>
    <row r="652" spans="5:6" x14ac:dyDescent="0.35">
      <c r="E652" s="4">
        <f>SUM($F$9:G651)+0.1</f>
        <v>1000.1</v>
      </c>
      <c r="F652" s="4"/>
    </row>
    <row r="653" spans="5:6" x14ac:dyDescent="0.35">
      <c r="E653" s="4">
        <f>SUM($F$9:G652)+0.1</f>
        <v>1000.1</v>
      </c>
      <c r="F653" s="4"/>
    </row>
    <row r="654" spans="5:6" x14ac:dyDescent="0.35">
      <c r="E654" s="4">
        <f>SUM($F$9:G653)+0.1</f>
        <v>1000.1</v>
      </c>
      <c r="F654" s="4"/>
    </row>
    <row r="655" spans="5:6" x14ac:dyDescent="0.35">
      <c r="E655" s="4">
        <f>SUM($F$9:G654)+0.1</f>
        <v>1000.1</v>
      </c>
      <c r="F655" s="4"/>
    </row>
    <row r="656" spans="5:6" x14ac:dyDescent="0.35">
      <c r="E656" s="4">
        <f>SUM($F$9:G655)+0.1</f>
        <v>1000.1</v>
      </c>
      <c r="F656" s="4"/>
    </row>
    <row r="657" spans="5:6" x14ac:dyDescent="0.35">
      <c r="E657" s="4">
        <f>SUM($F$9:G656)+0.1</f>
        <v>1000.1</v>
      </c>
      <c r="F657" s="4"/>
    </row>
    <row r="658" spans="5:6" x14ac:dyDescent="0.35">
      <c r="E658" s="4">
        <f>SUM($F$9:G657)+0.1</f>
        <v>1000.1</v>
      </c>
      <c r="F658" s="4"/>
    </row>
    <row r="659" spans="5:6" x14ac:dyDescent="0.35">
      <c r="E659" s="4">
        <f>SUM($F$9:G658)+0.1</f>
        <v>1000.1</v>
      </c>
      <c r="F659" s="4"/>
    </row>
    <row r="660" spans="5:6" x14ac:dyDescent="0.35">
      <c r="E660" s="4">
        <f>SUM($F$9:G659)+0.1</f>
        <v>1000.1</v>
      </c>
      <c r="F660" s="4"/>
    </row>
    <row r="661" spans="5:6" x14ac:dyDescent="0.35">
      <c r="E661" s="4">
        <f>SUM($F$9:G660)+0.1</f>
        <v>1000.1</v>
      </c>
      <c r="F661" s="4"/>
    </row>
    <row r="662" spans="5:6" x14ac:dyDescent="0.35">
      <c r="E662" s="4">
        <f>SUM($F$9:G661)+0.1</f>
        <v>1000.1</v>
      </c>
      <c r="F662" s="4"/>
    </row>
    <row r="663" spans="5:6" x14ac:dyDescent="0.35">
      <c r="E663" s="4">
        <f>SUM($F$9:G662)+0.1</f>
        <v>1000.1</v>
      </c>
      <c r="F663" s="4"/>
    </row>
    <row r="664" spans="5:6" x14ac:dyDescent="0.35">
      <c r="E664" s="4">
        <f>SUM($F$9:G663)+0.1</f>
        <v>1000.1</v>
      </c>
      <c r="F664" s="4"/>
    </row>
    <row r="665" spans="5:6" x14ac:dyDescent="0.35">
      <c r="E665" s="4">
        <f>SUM($F$9:G664)+0.1</f>
        <v>1000.1</v>
      </c>
      <c r="F665" s="4"/>
    </row>
    <row r="666" spans="5:6" x14ac:dyDescent="0.35">
      <c r="E666" s="4">
        <f>SUM($F$9:G665)+0.1</f>
        <v>1000.1</v>
      </c>
      <c r="F666" s="4"/>
    </row>
    <row r="667" spans="5:6" x14ac:dyDescent="0.35">
      <c r="E667" s="4">
        <f>SUM($F$9:G666)+0.1</f>
        <v>1000.1</v>
      </c>
      <c r="F667" s="4"/>
    </row>
    <row r="668" spans="5:6" x14ac:dyDescent="0.35">
      <c r="E668" s="4">
        <f>SUM($F$9:G667)+0.1</f>
        <v>1000.1</v>
      </c>
      <c r="F668" s="4"/>
    </row>
    <row r="669" spans="5:6" x14ac:dyDescent="0.35">
      <c r="E669" s="4">
        <f>SUM($F$9:G668)+0.1</f>
        <v>1000.1</v>
      </c>
      <c r="F669" s="4"/>
    </row>
    <row r="670" spans="5:6" x14ac:dyDescent="0.35">
      <c r="E670" s="4">
        <f>SUM($F$9:G669)+0.1</f>
        <v>1000.1</v>
      </c>
      <c r="F670" s="4"/>
    </row>
    <row r="671" spans="5:6" x14ac:dyDescent="0.35">
      <c r="E671" s="4">
        <f>SUM($F$9:G670)+0.1</f>
        <v>1000.1</v>
      </c>
      <c r="F671" s="4"/>
    </row>
    <row r="672" spans="5:6" x14ac:dyDescent="0.35">
      <c r="E672" s="4">
        <f>SUM($F$9:G671)+0.1</f>
        <v>1000.1</v>
      </c>
      <c r="F672" s="4"/>
    </row>
    <row r="673" spans="5:6" x14ac:dyDescent="0.35">
      <c r="E673" s="4">
        <f>SUM($F$9:G672)+0.1</f>
        <v>1000.1</v>
      </c>
      <c r="F673" s="4"/>
    </row>
    <row r="674" spans="5:6" x14ac:dyDescent="0.35">
      <c r="E674" s="4">
        <f>SUM($F$9:G673)+0.1</f>
        <v>1000.1</v>
      </c>
      <c r="F674" s="4"/>
    </row>
    <row r="675" spans="5:6" x14ac:dyDescent="0.35">
      <c r="E675" s="4">
        <f>SUM($F$9:G674)+0.1</f>
        <v>1000.1</v>
      </c>
      <c r="F675" s="4"/>
    </row>
    <row r="676" spans="5:6" x14ac:dyDescent="0.35">
      <c r="E676" s="4">
        <f>SUM($F$9:G675)+0.1</f>
        <v>1000.1</v>
      </c>
      <c r="F676" s="4"/>
    </row>
    <row r="677" spans="5:6" x14ac:dyDescent="0.35">
      <c r="E677" s="4">
        <f>SUM($F$9:G676)+0.1</f>
        <v>1000.1</v>
      </c>
      <c r="F677" s="4"/>
    </row>
    <row r="678" spans="5:6" x14ac:dyDescent="0.35">
      <c r="E678" s="4">
        <f>SUM($F$9:G677)+0.1</f>
        <v>1000.1</v>
      </c>
      <c r="F678" s="4"/>
    </row>
    <row r="679" spans="5:6" x14ac:dyDescent="0.35">
      <c r="E679" s="4">
        <f>SUM($F$9:G678)+0.1</f>
        <v>1000.1</v>
      </c>
      <c r="F679" s="4"/>
    </row>
    <row r="680" spans="5:6" x14ac:dyDescent="0.35">
      <c r="E680" s="4">
        <f>SUM($F$9:G679)+0.1</f>
        <v>1000.1</v>
      </c>
      <c r="F680" s="4"/>
    </row>
    <row r="681" spans="5:6" x14ac:dyDescent="0.35">
      <c r="E681" s="4">
        <f>SUM($F$9:G680)+0.1</f>
        <v>1000.1</v>
      </c>
      <c r="F681" s="4"/>
    </row>
    <row r="682" spans="5:6" x14ac:dyDescent="0.35">
      <c r="E682" s="4">
        <f>SUM($F$9:G681)+0.1</f>
        <v>1000.1</v>
      </c>
      <c r="F682" s="4"/>
    </row>
    <row r="683" spans="5:6" x14ac:dyDescent="0.35">
      <c r="E683" s="4">
        <f>SUM($F$9:G682)+0.1</f>
        <v>1000.1</v>
      </c>
      <c r="F683" s="4"/>
    </row>
    <row r="684" spans="5:6" x14ac:dyDescent="0.35">
      <c r="E684" s="4">
        <f>SUM($F$9:G683)+0.1</f>
        <v>1000.1</v>
      </c>
      <c r="F684" s="4"/>
    </row>
    <row r="685" spans="5:6" x14ac:dyDescent="0.35">
      <c r="E685" s="4">
        <f>SUM($F$9:G684)+0.1</f>
        <v>1000.1</v>
      </c>
      <c r="F685" s="4"/>
    </row>
    <row r="686" spans="5:6" x14ac:dyDescent="0.35">
      <c r="E686" s="4">
        <f>SUM($F$9:G685)+0.1</f>
        <v>1000.1</v>
      </c>
      <c r="F686" s="4"/>
    </row>
    <row r="687" spans="5:6" x14ac:dyDescent="0.35">
      <c r="E687" s="4">
        <f>SUM($F$9:G686)+0.1</f>
        <v>1000.1</v>
      </c>
      <c r="F687" s="4"/>
    </row>
    <row r="688" spans="5:6" x14ac:dyDescent="0.35">
      <c r="E688" s="4">
        <f>SUM($F$9:G687)+0.1</f>
        <v>1000.1</v>
      </c>
      <c r="F688" s="4"/>
    </row>
    <row r="689" spans="5:6" x14ac:dyDescent="0.35">
      <c r="E689" s="4">
        <f>SUM($F$9:G688)+0.1</f>
        <v>1000.1</v>
      </c>
      <c r="F689" s="4"/>
    </row>
    <row r="690" spans="5:6" x14ac:dyDescent="0.35">
      <c r="E690" s="4">
        <f>SUM($F$9:G689)+0.1</f>
        <v>1000.1</v>
      </c>
      <c r="F690" s="4"/>
    </row>
    <row r="691" spans="5:6" x14ac:dyDescent="0.35">
      <c r="E691" s="4">
        <f>SUM($F$9:G690)+0.1</f>
        <v>1000.1</v>
      </c>
      <c r="F691" s="4"/>
    </row>
    <row r="692" spans="5:6" x14ac:dyDescent="0.35">
      <c r="E692" s="4">
        <f>SUM($F$9:G691)+0.1</f>
        <v>1000.1</v>
      </c>
      <c r="F692" s="4"/>
    </row>
    <row r="693" spans="5:6" x14ac:dyDescent="0.35">
      <c r="E693" s="4">
        <f>SUM($F$9:G692)+0.1</f>
        <v>1000.1</v>
      </c>
      <c r="F693" s="4"/>
    </row>
    <row r="694" spans="5:6" x14ac:dyDescent="0.35">
      <c r="E694" s="4">
        <f>SUM($F$9:G693)+0.1</f>
        <v>1000.1</v>
      </c>
      <c r="F694" s="4"/>
    </row>
    <row r="695" spans="5:6" x14ac:dyDescent="0.35">
      <c r="E695" s="4">
        <f>SUM($F$9:G694)+0.1</f>
        <v>1000.1</v>
      </c>
      <c r="F695" s="4"/>
    </row>
    <row r="696" spans="5:6" x14ac:dyDescent="0.35">
      <c r="E696" s="4">
        <f>SUM($F$9:G695)+0.1</f>
        <v>1000.1</v>
      </c>
      <c r="F696" s="4"/>
    </row>
    <row r="697" spans="5:6" x14ac:dyDescent="0.35">
      <c r="E697" s="4">
        <f>SUM($F$9:G696)+0.1</f>
        <v>1000.1</v>
      </c>
      <c r="F697" s="4"/>
    </row>
    <row r="698" spans="5:6" x14ac:dyDescent="0.35">
      <c r="E698" s="4">
        <f>SUM($F$9:G697)+0.1</f>
        <v>1000.1</v>
      </c>
      <c r="F698" s="4"/>
    </row>
    <row r="699" spans="5:6" x14ac:dyDescent="0.35">
      <c r="E699" s="4">
        <f>SUM($F$9:G698)+0.1</f>
        <v>1000.1</v>
      </c>
      <c r="F699" s="4"/>
    </row>
    <row r="700" spans="5:6" x14ac:dyDescent="0.35">
      <c r="E700" s="4">
        <f>SUM($F$9:G699)+0.1</f>
        <v>1000.1</v>
      </c>
      <c r="F700" s="4"/>
    </row>
    <row r="701" spans="5:6" x14ac:dyDescent="0.35">
      <c r="E701" s="4">
        <f>SUM($F$9:G700)+0.1</f>
        <v>1000.1</v>
      </c>
      <c r="F701" s="4"/>
    </row>
    <row r="702" spans="5:6" x14ac:dyDescent="0.35">
      <c r="E702" s="4">
        <f>SUM($F$9:G701)+0.1</f>
        <v>1000.1</v>
      </c>
      <c r="F702" s="4"/>
    </row>
    <row r="703" spans="5:6" x14ac:dyDescent="0.35">
      <c r="E703" s="4">
        <f>SUM($F$9:G702)+0.1</f>
        <v>1000.1</v>
      </c>
      <c r="F703" s="4"/>
    </row>
    <row r="704" spans="5:6" x14ac:dyDescent="0.35">
      <c r="E704" s="4">
        <f>SUM($F$9:G703)+0.1</f>
        <v>1000.1</v>
      </c>
      <c r="F704" s="4"/>
    </row>
    <row r="705" spans="5:6" x14ac:dyDescent="0.35">
      <c r="E705" s="4">
        <f>SUM($F$9:G704)+0.1</f>
        <v>1000.1</v>
      </c>
      <c r="F705" s="4"/>
    </row>
    <row r="706" spans="5:6" x14ac:dyDescent="0.35">
      <c r="E706" s="4">
        <f>SUM($F$9:G705)+0.1</f>
        <v>1000.1</v>
      </c>
      <c r="F706" s="4"/>
    </row>
    <row r="707" spans="5:6" x14ac:dyDescent="0.35">
      <c r="E707" s="4">
        <f>SUM($F$9:G706)+0.1</f>
        <v>1000.1</v>
      </c>
      <c r="F707" s="4"/>
    </row>
    <row r="708" spans="5:6" x14ac:dyDescent="0.35">
      <c r="E708" s="4">
        <f>SUM($F$9:G707)+0.1</f>
        <v>1000.1</v>
      </c>
      <c r="F708" s="4"/>
    </row>
    <row r="709" spans="5:6" x14ac:dyDescent="0.35">
      <c r="E709" s="4">
        <f>SUM($F$9:G708)+0.1</f>
        <v>1000.1</v>
      </c>
      <c r="F709" s="4"/>
    </row>
    <row r="710" spans="5:6" x14ac:dyDescent="0.35">
      <c r="E710" s="4">
        <f>SUM($F$9:G709)+0.1</f>
        <v>1000.1</v>
      </c>
      <c r="F710" s="4"/>
    </row>
    <row r="711" spans="5:6" x14ac:dyDescent="0.35">
      <c r="E711" s="4">
        <f>SUM($F$9:G710)+0.1</f>
        <v>1000.1</v>
      </c>
      <c r="F711" s="4"/>
    </row>
    <row r="712" spans="5:6" x14ac:dyDescent="0.35">
      <c r="E712" s="4">
        <f>SUM($F$9:G711)+0.1</f>
        <v>1000.1</v>
      </c>
      <c r="F712" s="4"/>
    </row>
    <row r="713" spans="5:6" x14ac:dyDescent="0.35">
      <c r="E713" s="4">
        <f>SUM($F$9:G712)+0.1</f>
        <v>1000.1</v>
      </c>
      <c r="F713" s="4"/>
    </row>
    <row r="714" spans="5:6" x14ac:dyDescent="0.35">
      <c r="E714" s="4">
        <f>SUM($F$9:G713)+0.1</f>
        <v>1000.1</v>
      </c>
      <c r="F714" s="4"/>
    </row>
    <row r="715" spans="5:6" x14ac:dyDescent="0.35">
      <c r="E715" s="4">
        <f>SUM($F$9:G714)+0.1</f>
        <v>1000.1</v>
      </c>
      <c r="F715" s="4"/>
    </row>
    <row r="716" spans="5:6" x14ac:dyDescent="0.35">
      <c r="E716" s="4">
        <f>SUM($F$9:G715)+0.1</f>
        <v>1000.1</v>
      </c>
      <c r="F716" s="4"/>
    </row>
    <row r="717" spans="5:6" x14ac:dyDescent="0.35">
      <c r="E717" s="4">
        <f>SUM($F$9:G716)+0.1</f>
        <v>1000.1</v>
      </c>
      <c r="F717" s="4"/>
    </row>
    <row r="718" spans="5:6" x14ac:dyDescent="0.35">
      <c r="E718" s="4">
        <f>SUM($F$9:G717)+0.1</f>
        <v>1000.1</v>
      </c>
      <c r="F718" s="4"/>
    </row>
    <row r="719" spans="5:6" x14ac:dyDescent="0.35">
      <c r="E719" s="4">
        <f>SUM($F$9:G718)+0.1</f>
        <v>1000.1</v>
      </c>
      <c r="F719" s="4"/>
    </row>
    <row r="720" spans="5:6" x14ac:dyDescent="0.35">
      <c r="E720" s="4">
        <f>SUM($F$9:G719)+0.1</f>
        <v>1000.1</v>
      </c>
      <c r="F720" s="4"/>
    </row>
    <row r="721" spans="5:6" x14ac:dyDescent="0.35">
      <c r="E721" s="4">
        <f>SUM($F$9:G720)+0.1</f>
        <v>1000.1</v>
      </c>
      <c r="F721" s="4"/>
    </row>
    <row r="722" spans="5:6" x14ac:dyDescent="0.35">
      <c r="E722" s="4">
        <f>SUM($F$9:G721)+0.1</f>
        <v>1000.1</v>
      </c>
      <c r="F722" s="4"/>
    </row>
    <row r="723" spans="5:6" x14ac:dyDescent="0.35">
      <c r="E723" s="4">
        <f>SUM($F$9:G722)+0.1</f>
        <v>1000.1</v>
      </c>
      <c r="F723" s="4"/>
    </row>
    <row r="724" spans="5:6" x14ac:dyDescent="0.35">
      <c r="E724" s="4">
        <f>SUM($F$9:G723)+0.1</f>
        <v>1000.1</v>
      </c>
      <c r="F724" s="4"/>
    </row>
    <row r="725" spans="5:6" x14ac:dyDescent="0.35">
      <c r="E725" s="4">
        <f>SUM($F$9:G724)+0.1</f>
        <v>1000.1</v>
      </c>
      <c r="F725" s="4"/>
    </row>
    <row r="726" spans="5:6" x14ac:dyDescent="0.35">
      <c r="E726" s="4">
        <f>SUM($F$9:G725)+0.1</f>
        <v>1000.1</v>
      </c>
      <c r="F726" s="4"/>
    </row>
    <row r="727" spans="5:6" x14ac:dyDescent="0.35">
      <c r="E727" s="4">
        <f>SUM($F$9:G726)+0.1</f>
        <v>1000.1</v>
      </c>
      <c r="F727" s="4"/>
    </row>
    <row r="728" spans="5:6" x14ac:dyDescent="0.35">
      <c r="E728" s="4">
        <f>SUM($F$9:G727)+0.1</f>
        <v>1000.1</v>
      </c>
      <c r="F728" s="4"/>
    </row>
    <row r="729" spans="5:6" x14ac:dyDescent="0.35">
      <c r="E729" s="4">
        <f>SUM($F$9:G728)+0.1</f>
        <v>1000.1</v>
      </c>
      <c r="F729" s="4"/>
    </row>
    <row r="730" spans="5:6" x14ac:dyDescent="0.35">
      <c r="E730" s="4">
        <f>SUM($F$9:G729)+0.1</f>
        <v>1000.1</v>
      </c>
      <c r="F730" s="4"/>
    </row>
    <row r="731" spans="5:6" x14ac:dyDescent="0.35">
      <c r="E731" s="4">
        <f>SUM($F$9:G730)+0.1</f>
        <v>1000.1</v>
      </c>
      <c r="F731" s="4"/>
    </row>
    <row r="732" spans="5:6" x14ac:dyDescent="0.35">
      <c r="E732" s="4">
        <f>SUM($F$9:G731)+0.1</f>
        <v>1000.1</v>
      </c>
      <c r="F732" s="4"/>
    </row>
    <row r="733" spans="5:6" x14ac:dyDescent="0.35">
      <c r="E733" s="4">
        <f>SUM($F$9:G732)+0.1</f>
        <v>1000.1</v>
      </c>
      <c r="F733" s="4"/>
    </row>
    <row r="734" spans="5:6" x14ac:dyDescent="0.35">
      <c r="E734" s="4">
        <f>SUM($F$9:G733)+0.1</f>
        <v>1000.1</v>
      </c>
      <c r="F734" s="4"/>
    </row>
    <row r="735" spans="5:6" x14ac:dyDescent="0.35">
      <c r="E735" s="4">
        <f>SUM($F$9:G734)+0.1</f>
        <v>1000.1</v>
      </c>
      <c r="F735" s="4"/>
    </row>
    <row r="736" spans="5:6" x14ac:dyDescent="0.35">
      <c r="E736" s="4">
        <f>SUM($F$9:G735)+0.1</f>
        <v>1000.1</v>
      </c>
      <c r="F736" s="4"/>
    </row>
    <row r="737" spans="5:6" x14ac:dyDescent="0.35">
      <c r="E737" s="4">
        <f>SUM($F$9:G736)+0.1</f>
        <v>1000.1</v>
      </c>
      <c r="F737" s="4"/>
    </row>
    <row r="738" spans="5:6" x14ac:dyDescent="0.35">
      <c r="E738" s="4">
        <f>SUM($F$9:G737)+0.1</f>
        <v>1000.1</v>
      </c>
      <c r="F738" s="4"/>
    </row>
    <row r="739" spans="5:6" x14ac:dyDescent="0.35">
      <c r="E739" s="4">
        <f>SUM($F$9:G738)+0.1</f>
        <v>1000.1</v>
      </c>
      <c r="F739" s="4"/>
    </row>
    <row r="740" spans="5:6" x14ac:dyDescent="0.35">
      <c r="E740" s="4">
        <f>SUM($F$9:G739)+0.1</f>
        <v>1000.1</v>
      </c>
      <c r="F740" s="4"/>
    </row>
    <row r="741" spans="5:6" x14ac:dyDescent="0.35">
      <c r="E741" s="4">
        <f>SUM($F$9:G740)+0.1</f>
        <v>1000.1</v>
      </c>
      <c r="F741" s="4"/>
    </row>
    <row r="742" spans="5:6" x14ac:dyDescent="0.35">
      <c r="E742" s="4">
        <f>SUM($F$9:G741)+0.1</f>
        <v>1000.1</v>
      </c>
      <c r="F742" s="4"/>
    </row>
    <row r="743" spans="5:6" x14ac:dyDescent="0.35">
      <c r="E743" s="4">
        <f>SUM($F$9:G742)+0.1</f>
        <v>1000.1</v>
      </c>
      <c r="F743" s="4"/>
    </row>
    <row r="744" spans="5:6" x14ac:dyDescent="0.35">
      <c r="E744" s="4">
        <f>SUM($F$9:G743)+0.1</f>
        <v>1000.1</v>
      </c>
      <c r="F744" s="4"/>
    </row>
    <row r="745" spans="5:6" x14ac:dyDescent="0.35">
      <c r="E745" s="4">
        <f>SUM($F$9:G744)+0.1</f>
        <v>1000.1</v>
      </c>
      <c r="F745" s="4"/>
    </row>
    <row r="746" spans="5:6" x14ac:dyDescent="0.35">
      <c r="E746" s="4">
        <f>SUM($F$9:G745)+0.1</f>
        <v>1000.1</v>
      </c>
      <c r="F746" s="4"/>
    </row>
    <row r="747" spans="5:6" x14ac:dyDescent="0.35">
      <c r="E747" s="4">
        <f>SUM($F$9:G746)+0.1</f>
        <v>1000.1</v>
      </c>
      <c r="F747" s="4"/>
    </row>
    <row r="748" spans="5:6" x14ac:dyDescent="0.35">
      <c r="E748" s="4">
        <f>SUM($F$9:G747)+0.1</f>
        <v>1000.1</v>
      </c>
      <c r="F748" s="4"/>
    </row>
    <row r="749" spans="5:6" x14ac:dyDescent="0.35">
      <c r="E749" s="4">
        <f>SUM($F$9:G748)+0.1</f>
        <v>1000.1</v>
      </c>
      <c r="F749" s="4"/>
    </row>
    <row r="750" spans="5:6" x14ac:dyDescent="0.35">
      <c r="E750" s="4">
        <f>SUM($F$9:G749)+0.1</f>
        <v>1000.1</v>
      </c>
      <c r="F750" s="4"/>
    </row>
    <row r="751" spans="5:6" x14ac:dyDescent="0.35">
      <c r="E751" s="4">
        <f>SUM($F$9:G750)+0.1</f>
        <v>1000.1</v>
      </c>
      <c r="F751" s="4"/>
    </row>
    <row r="752" spans="5:6" x14ac:dyDescent="0.35">
      <c r="E752" s="4">
        <f>SUM($F$9:G751)+0.1</f>
        <v>1000.1</v>
      </c>
      <c r="F752" s="4"/>
    </row>
    <row r="753" spans="5:6" x14ac:dyDescent="0.35">
      <c r="E753" s="4">
        <f>SUM($F$9:G752)+0.1</f>
        <v>1000.1</v>
      </c>
      <c r="F753" s="4"/>
    </row>
    <row r="754" spans="5:6" x14ac:dyDescent="0.35">
      <c r="E754" s="4">
        <f>SUM($F$9:G753)+0.1</f>
        <v>1000.1</v>
      </c>
      <c r="F754" s="4"/>
    </row>
    <row r="755" spans="5:6" x14ac:dyDescent="0.35">
      <c r="E755" s="4">
        <f>SUM($F$9:G754)+0.1</f>
        <v>1000.1</v>
      </c>
      <c r="F755" s="4"/>
    </row>
    <row r="756" spans="5:6" x14ac:dyDescent="0.35">
      <c r="E756" s="4">
        <f>SUM($F$9:G755)+0.1</f>
        <v>1000.1</v>
      </c>
      <c r="F756" s="4"/>
    </row>
    <row r="757" spans="5:6" x14ac:dyDescent="0.35">
      <c r="E757" s="4">
        <f>SUM($F$9:G756)+0.1</f>
        <v>1000.1</v>
      </c>
      <c r="F757" s="4"/>
    </row>
    <row r="758" spans="5:6" x14ac:dyDescent="0.35">
      <c r="E758" s="4">
        <f>SUM($F$9:G757)+0.1</f>
        <v>1000.1</v>
      </c>
      <c r="F758" s="4"/>
    </row>
    <row r="759" spans="5:6" x14ac:dyDescent="0.35">
      <c r="E759" s="4">
        <f>SUM($F$9:G758)+0.1</f>
        <v>1000.1</v>
      </c>
      <c r="F759" s="4"/>
    </row>
    <row r="760" spans="5:6" x14ac:dyDescent="0.35">
      <c r="E760" s="4">
        <f>SUM($F$9:G759)+0.1</f>
        <v>1000.1</v>
      </c>
      <c r="F760" s="4"/>
    </row>
    <row r="761" spans="5:6" x14ac:dyDescent="0.35">
      <c r="E761" s="4">
        <f>SUM($F$9:G760)+0.1</f>
        <v>1000.1</v>
      </c>
      <c r="F761" s="4"/>
    </row>
    <row r="762" spans="5:6" x14ac:dyDescent="0.35">
      <c r="E762" s="4">
        <f>SUM($F$9:G761)+0.1</f>
        <v>1000.1</v>
      </c>
      <c r="F762" s="4"/>
    </row>
    <row r="763" spans="5:6" x14ac:dyDescent="0.35">
      <c r="E763" s="4">
        <f>SUM($F$9:G762)+0.1</f>
        <v>1000.1</v>
      </c>
      <c r="F763" s="4"/>
    </row>
    <row r="764" spans="5:6" x14ac:dyDescent="0.35">
      <c r="E764" s="4">
        <f>SUM($F$9:G763)+0.1</f>
        <v>1000.1</v>
      </c>
      <c r="F764" s="4"/>
    </row>
    <row r="765" spans="5:6" x14ac:dyDescent="0.35">
      <c r="E765" s="4">
        <f>SUM($F$9:G764)+0.1</f>
        <v>1000.1</v>
      </c>
      <c r="F765" s="4"/>
    </row>
    <row r="766" spans="5:6" x14ac:dyDescent="0.35">
      <c r="E766" s="4">
        <f>SUM($F$9:G765)+0.1</f>
        <v>1000.1</v>
      </c>
      <c r="F766" s="4"/>
    </row>
    <row r="767" spans="5:6" x14ac:dyDescent="0.35">
      <c r="E767" s="4">
        <f>SUM($F$9:G766)+0.1</f>
        <v>1000.1</v>
      </c>
      <c r="F767" s="4"/>
    </row>
    <row r="768" spans="5:6" x14ac:dyDescent="0.35">
      <c r="E768" s="4">
        <f>SUM($F$9:G767)+0.1</f>
        <v>1000.1</v>
      </c>
      <c r="F768" s="4"/>
    </row>
    <row r="769" spans="5:6" x14ac:dyDescent="0.35">
      <c r="E769" s="4">
        <f>SUM($F$9:G768)+0.1</f>
        <v>1000.1</v>
      </c>
      <c r="F769" s="4"/>
    </row>
    <row r="770" spans="5:6" x14ac:dyDescent="0.35">
      <c r="E770" s="4">
        <f>SUM($F$9:G769)+0.1</f>
        <v>1000.1</v>
      </c>
      <c r="F770" s="4"/>
    </row>
    <row r="771" spans="5:6" x14ac:dyDescent="0.35">
      <c r="E771" s="4">
        <f>SUM($F$9:G770)+0.1</f>
        <v>1000.1</v>
      </c>
      <c r="F771" s="4"/>
    </row>
    <row r="772" spans="5:6" x14ac:dyDescent="0.35">
      <c r="E772" s="4">
        <f>SUM($F$9:G771)+0.1</f>
        <v>1000.1</v>
      </c>
      <c r="F772" s="4"/>
    </row>
    <row r="773" spans="5:6" x14ac:dyDescent="0.35">
      <c r="E773" s="4">
        <f>SUM($F$9:G772)+0.1</f>
        <v>1000.1</v>
      </c>
      <c r="F773" s="4"/>
    </row>
    <row r="774" spans="5:6" x14ac:dyDescent="0.35">
      <c r="E774" s="4">
        <f>SUM($F$9:G773)+0.1</f>
        <v>1000.1</v>
      </c>
      <c r="F774" s="4"/>
    </row>
    <row r="775" spans="5:6" x14ac:dyDescent="0.35">
      <c r="E775" s="4">
        <f>SUM($F$9:G774)+0.1</f>
        <v>1000.1</v>
      </c>
      <c r="F775" s="4"/>
    </row>
    <row r="776" spans="5:6" x14ac:dyDescent="0.35">
      <c r="E776" s="4">
        <f>SUM($F$9:G775)+0.1</f>
        <v>1000.1</v>
      </c>
      <c r="F776" s="4"/>
    </row>
    <row r="777" spans="5:6" x14ac:dyDescent="0.35">
      <c r="E777" s="4">
        <f>SUM($F$9:G776)+0.1</f>
        <v>1000.1</v>
      </c>
      <c r="F777" s="4"/>
    </row>
    <row r="778" spans="5:6" x14ac:dyDescent="0.35">
      <c r="E778" s="4">
        <f>SUM($F$9:G777)+0.1</f>
        <v>1000.1</v>
      </c>
      <c r="F778" s="4"/>
    </row>
    <row r="779" spans="5:6" x14ac:dyDescent="0.35">
      <c r="E779" s="4">
        <f>SUM($F$9:G778)+0.1</f>
        <v>1000.1</v>
      </c>
      <c r="F779" s="4"/>
    </row>
    <row r="780" spans="5:6" x14ac:dyDescent="0.35">
      <c r="E780" s="4">
        <f>SUM($F$9:G779)+0.1</f>
        <v>1000.1</v>
      </c>
      <c r="F780" s="4"/>
    </row>
    <row r="781" spans="5:6" x14ac:dyDescent="0.35">
      <c r="E781" s="4">
        <f>SUM($F$9:G780)+0.1</f>
        <v>1000.1</v>
      </c>
      <c r="F781" s="4"/>
    </row>
    <row r="782" spans="5:6" x14ac:dyDescent="0.35">
      <c r="E782" s="4">
        <f>SUM($F$9:G781)+0.1</f>
        <v>1000.1</v>
      </c>
      <c r="F782" s="4"/>
    </row>
    <row r="783" spans="5:6" x14ac:dyDescent="0.35">
      <c r="E783" s="4">
        <f>SUM($F$9:G782)+0.1</f>
        <v>1000.1</v>
      </c>
      <c r="F783" s="4"/>
    </row>
    <row r="784" spans="5:6" x14ac:dyDescent="0.35">
      <c r="E784" s="4">
        <f>SUM($F$9:G783)+0.1</f>
        <v>1000.1</v>
      </c>
      <c r="F784" s="4"/>
    </row>
    <row r="785" spans="5:6" x14ac:dyDescent="0.35">
      <c r="E785" s="4">
        <f>SUM($F$9:G784)+0.1</f>
        <v>1000.1</v>
      </c>
      <c r="F785" s="4"/>
    </row>
    <row r="786" spans="5:6" x14ac:dyDescent="0.35">
      <c r="E786" s="4">
        <f>SUM($F$9:G785)+0.1</f>
        <v>1000.1</v>
      </c>
      <c r="F786" s="4"/>
    </row>
    <row r="787" spans="5:6" x14ac:dyDescent="0.35">
      <c r="E787" s="4">
        <f>SUM($F$9:G786)+0.1</f>
        <v>1000.1</v>
      </c>
      <c r="F787" s="4"/>
    </row>
    <row r="788" spans="5:6" x14ac:dyDescent="0.35">
      <c r="E788" s="4">
        <f>SUM($F$9:G787)+0.1</f>
        <v>1000.1</v>
      </c>
      <c r="F788" s="4"/>
    </row>
    <row r="789" spans="5:6" x14ac:dyDescent="0.35">
      <c r="E789" s="4">
        <f>SUM($F$9:G788)+0.1</f>
        <v>1000.1</v>
      </c>
      <c r="F789" s="4"/>
    </row>
    <row r="790" spans="5:6" x14ac:dyDescent="0.35">
      <c r="E790" s="4">
        <f>SUM($F$9:G789)+0.1</f>
        <v>1000.1</v>
      </c>
      <c r="F790" s="4"/>
    </row>
    <row r="791" spans="5:6" x14ac:dyDescent="0.35">
      <c r="E791" s="4">
        <f>SUM($F$9:G790)+0.1</f>
        <v>1000.1</v>
      </c>
      <c r="F791" s="4"/>
    </row>
    <row r="792" spans="5:6" x14ac:dyDescent="0.35">
      <c r="E792" s="4">
        <f>SUM($F$9:G791)+0.1</f>
        <v>1000.1</v>
      </c>
      <c r="F792" s="4"/>
    </row>
    <row r="793" spans="5:6" x14ac:dyDescent="0.35">
      <c r="E793" s="4">
        <f>SUM($F$9:G792)+0.1</f>
        <v>1000.1</v>
      </c>
      <c r="F793" s="4"/>
    </row>
    <row r="794" spans="5:6" x14ac:dyDescent="0.35">
      <c r="E794" s="4">
        <f>SUM($F$9:G793)+0.1</f>
        <v>1000.1</v>
      </c>
      <c r="F794" s="4"/>
    </row>
    <row r="795" spans="5:6" x14ac:dyDescent="0.35">
      <c r="E795" s="4">
        <f>SUM($F$9:G794)+0.1</f>
        <v>1000.1</v>
      </c>
      <c r="F795" s="4"/>
    </row>
    <row r="796" spans="5:6" x14ac:dyDescent="0.35">
      <c r="E796" s="4">
        <f>SUM($F$9:G795)+0.1</f>
        <v>1000.1</v>
      </c>
      <c r="F796" s="4"/>
    </row>
    <row r="797" spans="5:6" x14ac:dyDescent="0.35">
      <c r="E797" s="4">
        <f>SUM($F$9:G796)+0.1</f>
        <v>1000.1</v>
      </c>
      <c r="F797" s="4"/>
    </row>
    <row r="798" spans="5:6" x14ac:dyDescent="0.35">
      <c r="E798" s="4">
        <f>SUM($F$9:G797)+0.1</f>
        <v>1000.1</v>
      </c>
      <c r="F798" s="4"/>
    </row>
    <row r="799" spans="5:6" x14ac:dyDescent="0.35">
      <c r="E799" s="4">
        <f>SUM($F$9:G798)+0.1</f>
        <v>1000.1</v>
      </c>
      <c r="F799" s="4"/>
    </row>
    <row r="800" spans="5:6" x14ac:dyDescent="0.35">
      <c r="E800" s="4">
        <f>SUM($F$9:G799)+0.1</f>
        <v>1000.1</v>
      </c>
      <c r="F800" s="4"/>
    </row>
    <row r="801" spans="5:6" x14ac:dyDescent="0.35">
      <c r="E801" s="4">
        <f>SUM($F$9:G800)+0.1</f>
        <v>1000.1</v>
      </c>
      <c r="F801" s="4"/>
    </row>
    <row r="802" spans="5:6" x14ac:dyDescent="0.35">
      <c r="E802" s="4">
        <f>SUM($F$9:G801)+0.1</f>
        <v>1000.1</v>
      </c>
      <c r="F802" s="4"/>
    </row>
    <row r="803" spans="5:6" x14ac:dyDescent="0.35">
      <c r="E803" s="4">
        <f>SUM($F$9:G802)+0.1</f>
        <v>1000.1</v>
      </c>
      <c r="F803" s="4"/>
    </row>
    <row r="804" spans="5:6" x14ac:dyDescent="0.35">
      <c r="E804" s="4">
        <f>SUM($F$9:G803)+0.1</f>
        <v>1000.1</v>
      </c>
      <c r="F804" s="4"/>
    </row>
    <row r="805" spans="5:6" x14ac:dyDescent="0.35">
      <c r="E805" s="4">
        <f>SUM($F$9:G804)+0.1</f>
        <v>1000.1</v>
      </c>
      <c r="F805" s="4"/>
    </row>
    <row r="806" spans="5:6" x14ac:dyDescent="0.35">
      <c r="E806" s="4">
        <f>SUM($F$9:G805)+0.1</f>
        <v>1000.1</v>
      </c>
      <c r="F806" s="4"/>
    </row>
    <row r="807" spans="5:6" x14ac:dyDescent="0.35">
      <c r="E807" s="4">
        <f>SUM($F$9:G806)+0.1</f>
        <v>1000.1</v>
      </c>
      <c r="F807" s="4"/>
    </row>
    <row r="808" spans="5:6" x14ac:dyDescent="0.35">
      <c r="E808" s="4">
        <f>SUM($F$9:G807)+0.1</f>
        <v>1000.1</v>
      </c>
      <c r="F808" s="4"/>
    </row>
    <row r="809" spans="5:6" x14ac:dyDescent="0.35">
      <c r="E809" s="4">
        <f>SUM($F$9:G808)+0.1</f>
        <v>1000.1</v>
      </c>
      <c r="F809" s="4"/>
    </row>
    <row r="810" spans="5:6" x14ac:dyDescent="0.35">
      <c r="E810" s="4">
        <f>SUM($F$9:G809)+0.1</f>
        <v>1000.1</v>
      </c>
      <c r="F810" s="4"/>
    </row>
    <row r="811" spans="5:6" x14ac:dyDescent="0.35">
      <c r="E811" s="4">
        <f>SUM($F$9:G810)+0.1</f>
        <v>1000.1</v>
      </c>
      <c r="F811" s="4"/>
    </row>
    <row r="812" spans="5:6" x14ac:dyDescent="0.35">
      <c r="E812" s="4">
        <f>SUM($F$9:G811)+0.1</f>
        <v>1000.1</v>
      </c>
      <c r="F812" s="4"/>
    </row>
    <row r="813" spans="5:6" x14ac:dyDescent="0.35">
      <c r="E813" s="4">
        <f>SUM($F$9:G812)+0.1</f>
        <v>1000.1</v>
      </c>
      <c r="F813" s="4"/>
    </row>
    <row r="814" spans="5:6" x14ac:dyDescent="0.35">
      <c r="E814" s="4">
        <f>SUM($F$9:G813)+0.1</f>
        <v>1000.1</v>
      </c>
      <c r="F814" s="4"/>
    </row>
    <row r="815" spans="5:6" x14ac:dyDescent="0.35">
      <c r="E815" s="4">
        <f>SUM($F$9:G814)+0.1</f>
        <v>1000.1</v>
      </c>
      <c r="F815" s="4"/>
    </row>
    <row r="816" spans="5:6" x14ac:dyDescent="0.35">
      <c r="E816" s="4">
        <f>SUM($F$9:G815)+0.1</f>
        <v>1000.1</v>
      </c>
      <c r="F816" s="4"/>
    </row>
    <row r="817" spans="5:6" x14ac:dyDescent="0.35">
      <c r="E817" s="4">
        <f>SUM($F$9:G816)+0.1</f>
        <v>1000.1</v>
      </c>
      <c r="F817" s="4"/>
    </row>
    <row r="818" spans="5:6" x14ac:dyDescent="0.35">
      <c r="E818" s="4">
        <f>SUM($F$9:G817)+0.1</f>
        <v>1000.1</v>
      </c>
      <c r="F818" s="4"/>
    </row>
    <row r="819" spans="5:6" x14ac:dyDescent="0.35">
      <c r="E819" s="4">
        <f>SUM($F$9:G818)+0.1</f>
        <v>1000.1</v>
      </c>
      <c r="F819" s="4"/>
    </row>
    <row r="820" spans="5:6" x14ac:dyDescent="0.35">
      <c r="E820" s="4">
        <f>SUM($F$9:G819)+0.1</f>
        <v>1000.1</v>
      </c>
      <c r="F820" s="4"/>
    </row>
    <row r="821" spans="5:6" x14ac:dyDescent="0.35">
      <c r="E821" s="4">
        <f>SUM($F$9:G820)+0.1</f>
        <v>1000.1</v>
      </c>
      <c r="F821" s="4"/>
    </row>
    <row r="822" spans="5:6" x14ac:dyDescent="0.35">
      <c r="E822" s="4">
        <f>SUM($F$9:G821)+0.1</f>
        <v>1000.1</v>
      </c>
      <c r="F822" s="4"/>
    </row>
    <row r="823" spans="5:6" x14ac:dyDescent="0.35">
      <c r="E823" s="4">
        <f>SUM($F$9:G822)+0.1</f>
        <v>1000.1</v>
      </c>
      <c r="F823" s="4"/>
    </row>
    <row r="824" spans="5:6" x14ac:dyDescent="0.35">
      <c r="E824" s="4">
        <f>SUM($F$9:G823)+0.1</f>
        <v>1000.1</v>
      </c>
      <c r="F824" s="4"/>
    </row>
    <row r="825" spans="5:6" x14ac:dyDescent="0.35">
      <c r="E825" s="4">
        <f>SUM($F$9:G824)+0.1</f>
        <v>1000.1</v>
      </c>
      <c r="F825" s="4"/>
    </row>
    <row r="826" spans="5:6" x14ac:dyDescent="0.35">
      <c r="E826" s="4">
        <f>SUM($F$9:G825)+0.1</f>
        <v>1000.1</v>
      </c>
      <c r="F826" s="4"/>
    </row>
    <row r="827" spans="5:6" x14ac:dyDescent="0.35">
      <c r="E827" s="4">
        <f>SUM($F$9:G826)+0.1</f>
        <v>1000.1</v>
      </c>
      <c r="F827" s="4"/>
    </row>
    <row r="828" spans="5:6" x14ac:dyDescent="0.35">
      <c r="E828" s="4">
        <f>SUM($F$9:G827)+0.1</f>
        <v>1000.1</v>
      </c>
      <c r="F828" s="4"/>
    </row>
    <row r="829" spans="5:6" x14ac:dyDescent="0.35">
      <c r="E829" s="4">
        <f>SUM($F$9:G828)+0.1</f>
        <v>1000.1</v>
      </c>
      <c r="F829" s="4"/>
    </row>
    <row r="830" spans="5:6" x14ac:dyDescent="0.35">
      <c r="E830" s="4">
        <f>SUM($F$9:G829)+0.1</f>
        <v>1000.1</v>
      </c>
      <c r="F830" s="4"/>
    </row>
    <row r="831" spans="5:6" x14ac:dyDescent="0.35">
      <c r="E831" s="4">
        <f>SUM($F$9:G830)+0.1</f>
        <v>1000.1</v>
      </c>
      <c r="F831" s="4"/>
    </row>
    <row r="832" spans="5:6" x14ac:dyDescent="0.35">
      <c r="E832" s="4">
        <f>SUM($F$9:G831)+0.1</f>
        <v>1000.1</v>
      </c>
      <c r="F832" s="4"/>
    </row>
    <row r="833" spans="5:6" x14ac:dyDescent="0.35">
      <c r="E833" s="4">
        <f>SUM($F$9:G832)+0.1</f>
        <v>1000.1</v>
      </c>
      <c r="F833" s="4"/>
    </row>
    <row r="834" spans="5:6" x14ac:dyDescent="0.35">
      <c r="E834" s="4">
        <f>SUM($F$9:G833)+0.1</f>
        <v>1000.1</v>
      </c>
      <c r="F834" s="4"/>
    </row>
    <row r="835" spans="5:6" x14ac:dyDescent="0.35">
      <c r="E835" s="4">
        <f>SUM($F$9:G834)+0.1</f>
        <v>1000.1</v>
      </c>
      <c r="F835" s="4"/>
    </row>
    <row r="836" spans="5:6" x14ac:dyDescent="0.35">
      <c r="E836" s="4">
        <f>SUM($F$9:G835)+0.1</f>
        <v>1000.1</v>
      </c>
      <c r="F836" s="4"/>
    </row>
    <row r="837" spans="5:6" x14ac:dyDescent="0.35">
      <c r="E837" s="4">
        <f>SUM($F$9:G836)+0.1</f>
        <v>1000.1</v>
      </c>
      <c r="F837" s="4"/>
    </row>
    <row r="838" spans="5:6" x14ac:dyDescent="0.35">
      <c r="E838" s="4">
        <f>SUM($F$9:G837)+0.1</f>
        <v>1000.1</v>
      </c>
      <c r="F838" s="4"/>
    </row>
    <row r="839" spans="5:6" x14ac:dyDescent="0.35">
      <c r="E839" s="4">
        <f>SUM($F$9:G838)+0.1</f>
        <v>1000.1</v>
      </c>
      <c r="F839" s="4"/>
    </row>
    <row r="840" spans="5:6" x14ac:dyDescent="0.35">
      <c r="E840" s="4">
        <f>SUM($F$9:G839)+0.1</f>
        <v>1000.1</v>
      </c>
      <c r="F840" s="4"/>
    </row>
    <row r="841" spans="5:6" x14ac:dyDescent="0.35">
      <c r="E841" s="4">
        <f>SUM($F$9:G840)+0.1</f>
        <v>1000.1</v>
      </c>
      <c r="F841" s="4"/>
    </row>
    <row r="842" spans="5:6" x14ac:dyDescent="0.35">
      <c r="E842" s="4">
        <f>SUM($F$9:G841)+0.1</f>
        <v>1000.1</v>
      </c>
      <c r="F842" s="4"/>
    </row>
    <row r="843" spans="5:6" x14ac:dyDescent="0.35">
      <c r="E843" s="4">
        <f>SUM($F$9:G842)+0.1</f>
        <v>1000.1</v>
      </c>
      <c r="F843" s="4"/>
    </row>
    <row r="844" spans="5:6" x14ac:dyDescent="0.35">
      <c r="E844" s="4">
        <f>SUM($F$9:G843)+0.1</f>
        <v>1000.1</v>
      </c>
      <c r="F844" s="4"/>
    </row>
    <row r="845" spans="5:6" x14ac:dyDescent="0.35">
      <c r="E845" s="4">
        <f>SUM($F$9:G844)+0.1</f>
        <v>1000.1</v>
      </c>
      <c r="F845" s="4"/>
    </row>
    <row r="846" spans="5:6" x14ac:dyDescent="0.35">
      <c r="E846" s="4">
        <f>SUM($F$9:G845)+0.1</f>
        <v>1000.1</v>
      </c>
      <c r="F846" s="4"/>
    </row>
    <row r="847" spans="5:6" x14ac:dyDescent="0.35">
      <c r="E847" s="4">
        <f>SUM($F$9:G846)+0.1</f>
        <v>1000.1</v>
      </c>
      <c r="F847" s="4"/>
    </row>
    <row r="848" spans="5:6" x14ac:dyDescent="0.35">
      <c r="E848" s="4">
        <f>SUM($F$9:G847)+0.1</f>
        <v>1000.1</v>
      </c>
      <c r="F848" s="4"/>
    </row>
    <row r="849" spans="5:6" x14ac:dyDescent="0.35">
      <c r="E849" s="4">
        <f>SUM($F$9:G848)+0.1</f>
        <v>1000.1</v>
      </c>
      <c r="F849" s="4"/>
    </row>
    <row r="850" spans="5:6" x14ac:dyDescent="0.35">
      <c r="E850" s="4">
        <f>SUM($F$9:G849)+0.1</f>
        <v>1000.1</v>
      </c>
      <c r="F850" s="4"/>
    </row>
    <row r="851" spans="5:6" x14ac:dyDescent="0.35">
      <c r="E851" s="4">
        <f>SUM($F$9:G850)+0.1</f>
        <v>1000.1</v>
      </c>
      <c r="F851" s="4"/>
    </row>
    <row r="852" spans="5:6" x14ac:dyDescent="0.35">
      <c r="E852" s="4">
        <f>SUM($F$9:G851)+0.1</f>
        <v>1000.1</v>
      </c>
      <c r="F852" s="4"/>
    </row>
    <row r="853" spans="5:6" x14ac:dyDescent="0.35">
      <c r="E853" s="4">
        <f>SUM($F$9:G852)+0.1</f>
        <v>1000.1</v>
      </c>
      <c r="F853" s="4"/>
    </row>
    <row r="854" spans="5:6" x14ac:dyDescent="0.35">
      <c r="E854" s="4">
        <f>SUM($F$9:G853)+0.1</f>
        <v>1000.1</v>
      </c>
      <c r="F854" s="4"/>
    </row>
    <row r="855" spans="5:6" x14ac:dyDescent="0.35">
      <c r="E855" s="4">
        <f>SUM($F$9:G854)+0.1</f>
        <v>1000.1</v>
      </c>
      <c r="F855" s="4"/>
    </row>
    <row r="856" spans="5:6" x14ac:dyDescent="0.35">
      <c r="E856" s="4">
        <f>SUM($F$9:G855)+0.1</f>
        <v>1000.1</v>
      </c>
      <c r="F856" s="4"/>
    </row>
    <row r="857" spans="5:6" x14ac:dyDescent="0.35">
      <c r="E857" s="4">
        <f>SUM($F$9:G856)+0.1</f>
        <v>1000.1</v>
      </c>
      <c r="F857" s="4"/>
    </row>
    <row r="858" spans="5:6" x14ac:dyDescent="0.35">
      <c r="E858" s="4">
        <f>SUM($F$9:G857)+0.1</f>
        <v>1000.1</v>
      </c>
      <c r="F858" s="4"/>
    </row>
    <row r="859" spans="5:6" x14ac:dyDescent="0.35">
      <c r="E859" s="4">
        <f>SUM($F$9:G858)+0.1</f>
        <v>1000.1</v>
      </c>
      <c r="F859" s="4"/>
    </row>
    <row r="860" spans="5:6" x14ac:dyDescent="0.35">
      <c r="E860" s="4">
        <f>SUM($F$9:G859)+0.1</f>
        <v>1000.1</v>
      </c>
      <c r="F860" s="4"/>
    </row>
    <row r="861" spans="5:6" x14ac:dyDescent="0.35">
      <c r="E861" s="4">
        <f>SUM($F$9:G860)+0.1</f>
        <v>1000.1</v>
      </c>
      <c r="F861" s="4"/>
    </row>
    <row r="862" spans="5:6" x14ac:dyDescent="0.35">
      <c r="E862" s="4">
        <f>SUM($F$9:G861)+0.1</f>
        <v>1000.1</v>
      </c>
      <c r="F862" s="4"/>
    </row>
    <row r="863" spans="5:6" x14ac:dyDescent="0.35">
      <c r="E863" s="4">
        <f>SUM($F$9:G862)+0.1</f>
        <v>1000.1</v>
      </c>
      <c r="F863" s="4"/>
    </row>
    <row r="864" spans="5:6" x14ac:dyDescent="0.35">
      <c r="E864" s="4">
        <f>SUM($F$9:G863)+0.1</f>
        <v>1000.1</v>
      </c>
      <c r="F864" s="4"/>
    </row>
    <row r="865" spans="5:6" x14ac:dyDescent="0.35">
      <c r="E865" s="4">
        <f>SUM($F$9:G864)+0.1</f>
        <v>1000.1</v>
      </c>
      <c r="F865" s="4"/>
    </row>
    <row r="866" spans="5:6" x14ac:dyDescent="0.35">
      <c r="E866" s="4">
        <f>SUM($F$9:G865)+0.1</f>
        <v>1000.1</v>
      </c>
      <c r="F866" s="4"/>
    </row>
    <row r="867" spans="5:6" x14ac:dyDescent="0.35">
      <c r="E867" s="4">
        <f>SUM($F$9:G866)+0.1</f>
        <v>1000.1</v>
      </c>
      <c r="F867" s="4"/>
    </row>
    <row r="868" spans="5:6" x14ac:dyDescent="0.35">
      <c r="E868" s="4">
        <f>SUM($F$9:G867)+0.1</f>
        <v>1000.1</v>
      </c>
      <c r="F868" s="4"/>
    </row>
    <row r="869" spans="5:6" x14ac:dyDescent="0.35">
      <c r="E869" s="4">
        <f>SUM($F$9:G868)+0.1</f>
        <v>1000.1</v>
      </c>
      <c r="F869" s="4"/>
    </row>
    <row r="870" spans="5:6" x14ac:dyDescent="0.35">
      <c r="E870" s="4">
        <f>SUM($F$9:G869)+0.1</f>
        <v>1000.1</v>
      </c>
      <c r="F870" s="4"/>
    </row>
    <row r="871" spans="5:6" x14ac:dyDescent="0.35">
      <c r="E871" s="4">
        <f>SUM($F$9:G870)+0.1</f>
        <v>1000.1</v>
      </c>
      <c r="F871" s="4"/>
    </row>
    <row r="872" spans="5:6" x14ac:dyDescent="0.35">
      <c r="E872" s="4">
        <f>SUM($F$9:G871)+0.1</f>
        <v>1000.1</v>
      </c>
      <c r="F872" s="4"/>
    </row>
    <row r="873" spans="5:6" x14ac:dyDescent="0.35">
      <c r="E873" s="4">
        <f>SUM($F$9:G872)+0.1</f>
        <v>1000.1</v>
      </c>
      <c r="F873" s="4"/>
    </row>
    <row r="874" spans="5:6" x14ac:dyDescent="0.35">
      <c r="E874" s="4">
        <f>SUM($F$9:G873)+0.1</f>
        <v>1000.1</v>
      </c>
      <c r="F874" s="4"/>
    </row>
    <row r="875" spans="5:6" x14ac:dyDescent="0.35">
      <c r="E875" s="4">
        <f>SUM($F$9:G874)+0.1</f>
        <v>1000.1</v>
      </c>
      <c r="F875" s="4"/>
    </row>
    <row r="876" spans="5:6" x14ac:dyDescent="0.35">
      <c r="E876" s="4">
        <f>SUM($F$9:G875)+0.1</f>
        <v>1000.1</v>
      </c>
      <c r="F876" s="4"/>
    </row>
    <row r="877" spans="5:6" x14ac:dyDescent="0.35">
      <c r="E877" s="4">
        <f>SUM($F$9:G876)+0.1</f>
        <v>1000.1</v>
      </c>
      <c r="F877" s="4"/>
    </row>
    <row r="878" spans="5:6" x14ac:dyDescent="0.35">
      <c r="E878" s="4">
        <f>SUM($F$9:G877)+0.1</f>
        <v>1000.1</v>
      </c>
      <c r="F878" s="4"/>
    </row>
    <row r="879" spans="5:6" x14ac:dyDescent="0.35">
      <c r="E879" s="4">
        <f>SUM($F$9:G878)+0.1</f>
        <v>1000.1</v>
      </c>
      <c r="F879" s="4"/>
    </row>
    <row r="880" spans="5:6" x14ac:dyDescent="0.35">
      <c r="E880" s="4">
        <f>SUM($F$9:G879)+0.1</f>
        <v>1000.1</v>
      </c>
      <c r="F880" s="4"/>
    </row>
    <row r="881" spans="5:6" x14ac:dyDescent="0.35">
      <c r="E881" s="4">
        <f>SUM($F$9:G880)+0.1</f>
        <v>1000.1</v>
      </c>
      <c r="F881" s="4"/>
    </row>
    <row r="882" spans="5:6" x14ac:dyDescent="0.35">
      <c r="E882" s="4">
        <f>SUM($F$9:G881)+0.1</f>
        <v>1000.1</v>
      </c>
      <c r="F882" s="4"/>
    </row>
    <row r="883" spans="5:6" x14ac:dyDescent="0.35">
      <c r="E883" s="4">
        <f>SUM($F$9:G882)+0.1</f>
        <v>1000.1</v>
      </c>
      <c r="F883" s="4"/>
    </row>
    <row r="884" spans="5:6" x14ac:dyDescent="0.35">
      <c r="E884" s="4">
        <f>SUM($F$9:G883)+0.1</f>
        <v>1000.1</v>
      </c>
      <c r="F884" s="4"/>
    </row>
    <row r="885" spans="5:6" x14ac:dyDescent="0.35">
      <c r="E885" s="4">
        <f>SUM($F$9:G884)+0.1</f>
        <v>1000.1</v>
      </c>
      <c r="F885" s="4"/>
    </row>
    <row r="886" spans="5:6" x14ac:dyDescent="0.35">
      <c r="E886" s="4">
        <f>SUM($F$9:G885)+0.1</f>
        <v>1000.1</v>
      </c>
      <c r="F886" s="4"/>
    </row>
    <row r="887" spans="5:6" x14ac:dyDescent="0.35">
      <c r="E887" s="4">
        <f>SUM($F$9:G886)+0.1</f>
        <v>1000.1</v>
      </c>
      <c r="F887" s="4"/>
    </row>
    <row r="888" spans="5:6" x14ac:dyDescent="0.35">
      <c r="E888" s="4">
        <f>SUM($F$9:G887)+0.1</f>
        <v>1000.1</v>
      </c>
      <c r="F888" s="4"/>
    </row>
    <row r="889" spans="5:6" x14ac:dyDescent="0.35">
      <c r="E889" s="4">
        <f>SUM($F$9:G888)+0.1</f>
        <v>1000.1</v>
      </c>
      <c r="F889" s="4"/>
    </row>
    <row r="890" spans="5:6" x14ac:dyDescent="0.35">
      <c r="E890" s="4">
        <f>SUM($F$9:G889)+0.1</f>
        <v>1000.1</v>
      </c>
      <c r="F890" s="4"/>
    </row>
    <row r="891" spans="5:6" x14ac:dyDescent="0.35">
      <c r="E891" s="4">
        <f>SUM($F$9:G890)+0.1</f>
        <v>1000.1</v>
      </c>
      <c r="F891" s="4"/>
    </row>
    <row r="892" spans="5:6" x14ac:dyDescent="0.35">
      <c r="E892" s="4">
        <f>SUM($F$9:G891)+0.1</f>
        <v>1000.1</v>
      </c>
      <c r="F892" s="4"/>
    </row>
    <row r="893" spans="5:6" x14ac:dyDescent="0.35">
      <c r="E893" s="4">
        <f>SUM($F$9:G892)+0.1</f>
        <v>1000.1</v>
      </c>
      <c r="F893" s="4"/>
    </row>
    <row r="894" spans="5:6" x14ac:dyDescent="0.35">
      <c r="E894" s="4">
        <f>SUM($F$9:G893)+0.1</f>
        <v>1000.1</v>
      </c>
      <c r="F894" s="4"/>
    </row>
    <row r="895" spans="5:6" x14ac:dyDescent="0.35">
      <c r="E895" s="4">
        <f>SUM($F$9:G894)+0.1</f>
        <v>1000.1</v>
      </c>
      <c r="F895" s="4"/>
    </row>
    <row r="896" spans="5:6" x14ac:dyDescent="0.35">
      <c r="E896" s="4">
        <f>SUM($F$9:G895)+0.1</f>
        <v>1000.1</v>
      </c>
      <c r="F896" s="4"/>
    </row>
    <row r="897" spans="5:6" x14ac:dyDescent="0.35">
      <c r="E897" s="4">
        <f>SUM($F$9:G896)+0.1</f>
        <v>1000.1</v>
      </c>
      <c r="F897" s="4"/>
    </row>
    <row r="898" spans="5:6" x14ac:dyDescent="0.35">
      <c r="E898" s="4">
        <f>SUM($F$9:G897)+0.1</f>
        <v>1000.1</v>
      </c>
      <c r="F898" s="4"/>
    </row>
    <row r="899" spans="5:6" x14ac:dyDescent="0.35">
      <c r="E899" s="4">
        <f>SUM($F$9:G898)+0.1</f>
        <v>1000.1</v>
      </c>
      <c r="F899" s="4"/>
    </row>
    <row r="900" spans="5:6" x14ac:dyDescent="0.35">
      <c r="E900" s="4">
        <f>SUM($F$9:G899)+0.1</f>
        <v>1000.1</v>
      </c>
      <c r="F900" s="4"/>
    </row>
    <row r="901" spans="5:6" x14ac:dyDescent="0.35">
      <c r="E901" s="4">
        <f>SUM($F$9:G900)+0.1</f>
        <v>1000.1</v>
      </c>
      <c r="F901" s="4"/>
    </row>
    <row r="902" spans="5:6" x14ac:dyDescent="0.35">
      <c r="E902" s="4">
        <f>SUM($F$9:G901)+0.1</f>
        <v>1000.1</v>
      </c>
      <c r="F902" s="4"/>
    </row>
    <row r="903" spans="5:6" x14ac:dyDescent="0.35">
      <c r="E903" s="4">
        <f>SUM($F$9:G902)+0.1</f>
        <v>1000.1</v>
      </c>
      <c r="F903" s="4"/>
    </row>
    <row r="904" spans="5:6" x14ac:dyDescent="0.35">
      <c r="E904" s="4">
        <f>SUM($F$9:G903)+0.1</f>
        <v>1000.1</v>
      </c>
      <c r="F904" s="4"/>
    </row>
    <row r="905" spans="5:6" x14ac:dyDescent="0.35">
      <c r="E905" s="4">
        <f>SUM($F$9:G904)+0.1</f>
        <v>1000.1</v>
      </c>
      <c r="F905" s="4"/>
    </row>
    <row r="906" spans="5:6" x14ac:dyDescent="0.35">
      <c r="E906" s="4">
        <f>SUM($F$9:G905)+0.1</f>
        <v>1000.1</v>
      </c>
      <c r="F906" s="4"/>
    </row>
    <row r="907" spans="5:6" x14ac:dyDescent="0.35">
      <c r="E907" s="4">
        <f>SUM($F$9:G906)+0.1</f>
        <v>1000.1</v>
      </c>
      <c r="F907" s="4"/>
    </row>
    <row r="908" spans="5:6" x14ac:dyDescent="0.35">
      <c r="E908" s="4">
        <f>SUM($F$9:G907)+0.1</f>
        <v>1000.1</v>
      </c>
      <c r="F908" s="4"/>
    </row>
    <row r="909" spans="5:6" x14ac:dyDescent="0.35">
      <c r="E909" s="4">
        <f>SUM($F$9:G908)+0.1</f>
        <v>1000.1</v>
      </c>
      <c r="F909" s="4"/>
    </row>
    <row r="910" spans="5:6" x14ac:dyDescent="0.35">
      <c r="E910" s="4">
        <f>SUM($F$9:G909)+0.1</f>
        <v>1000.1</v>
      </c>
      <c r="F910" s="4"/>
    </row>
    <row r="911" spans="5:6" x14ac:dyDescent="0.35">
      <c r="E911" s="4">
        <f>SUM($F$9:G910)+0.1</f>
        <v>1000.1</v>
      </c>
      <c r="F911" s="4"/>
    </row>
    <row r="912" spans="5:6" x14ac:dyDescent="0.35">
      <c r="E912" s="4">
        <f>SUM($F$9:G911)+0.1</f>
        <v>1000.1</v>
      </c>
      <c r="F912" s="4"/>
    </row>
    <row r="913" spans="1:6" x14ac:dyDescent="0.35">
      <c r="E913" s="4">
        <f>SUM($F$9:G912)+0.1</f>
        <v>1000.1</v>
      </c>
      <c r="F913" s="4"/>
    </row>
    <row r="914" spans="1:6" x14ac:dyDescent="0.35">
      <c r="E914" s="4">
        <f>SUM($F$9:G913)+0.1</f>
        <v>1000.1</v>
      </c>
      <c r="F914" s="4"/>
    </row>
    <row r="915" spans="1:6" x14ac:dyDescent="0.35">
      <c r="E915" s="4">
        <f>SUM($F$9:G914)+0.1</f>
        <v>1000.1</v>
      </c>
      <c r="F915" s="4"/>
    </row>
    <row r="916" spans="1:6" x14ac:dyDescent="0.35">
      <c r="E916" s="4">
        <f>SUM($F$9:G915)+0.1</f>
        <v>1000.1</v>
      </c>
      <c r="F916" s="4"/>
    </row>
    <row r="917" spans="1:6" x14ac:dyDescent="0.35">
      <c r="E917" s="4">
        <f>SUM($F$9:G916)+0.1</f>
        <v>1000.1</v>
      </c>
      <c r="F917" s="4"/>
    </row>
    <row r="918" spans="1:6" x14ac:dyDescent="0.35">
      <c r="E918" s="4">
        <f>SUM($F$9:G917)+0.1</f>
        <v>1000.1</v>
      </c>
      <c r="F918" s="4"/>
    </row>
    <row r="919" spans="1:6" x14ac:dyDescent="0.35">
      <c r="E919" s="4">
        <f>SUM($F$9:G918)+0.1</f>
        <v>1000.1</v>
      </c>
      <c r="F919" s="4"/>
    </row>
    <row r="920" spans="1:6" x14ac:dyDescent="0.35">
      <c r="A920"/>
    </row>
    <row r="921" spans="1:6" x14ac:dyDescent="0.35">
      <c r="A921"/>
    </row>
    <row r="922" spans="1:6" x14ac:dyDescent="0.35">
      <c r="A922"/>
    </row>
    <row r="923" spans="1:6" x14ac:dyDescent="0.35">
      <c r="A923"/>
    </row>
    <row r="924" spans="1:6" x14ac:dyDescent="0.35">
      <c r="A924"/>
    </row>
    <row r="925" spans="1:6" x14ac:dyDescent="0.35">
      <c r="A925"/>
    </row>
    <row r="926" spans="1:6" x14ac:dyDescent="0.35">
      <c r="A926"/>
    </row>
  </sheetData>
  <conditionalFormatting sqref="A359">
    <cfRule type="duplicateValues" dxfId="0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Refresh">
                <anchor moveWithCells="1">
                  <from>
                    <xdr:col>3</xdr:col>
                    <xdr:colOff>133350</xdr:colOff>
                    <xdr:row>0</xdr:row>
                    <xdr:rowOff>152400</xdr:rowOff>
                  </from>
                  <to>
                    <xdr:col>3</xdr:col>
                    <xdr:colOff>679450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60</vt:lpstr>
      <vt:lpstr>30</vt:lpstr>
      <vt:lpstr>Mini</vt:lpstr>
    </vt:vector>
  </TitlesOfParts>
  <Company>Uniformed Services of the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MEREDITH</dc:creator>
  <cp:lastModifiedBy>SCOTT MEREDITH</cp:lastModifiedBy>
  <dcterms:created xsi:type="dcterms:W3CDTF">2024-08-12T18:13:39Z</dcterms:created>
  <dcterms:modified xsi:type="dcterms:W3CDTF">2026-09-07T00:46:03Z</dcterms:modified>
</cp:coreProperties>
</file>